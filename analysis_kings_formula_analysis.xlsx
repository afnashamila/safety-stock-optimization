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nas\Desktop\VKC\"/>
    </mc:Choice>
  </mc:AlternateContent>
  <xr:revisionPtr revIDLastSave="0" documentId="13_ncr:1_{F2F7FB17-10BF-41F1-AECB-8AA9768904D6}" xr6:coauthVersionLast="47" xr6:coauthVersionMax="47" xr10:uidLastSave="{00000000-0000-0000-0000-000000000000}"/>
  <bookViews>
    <workbookView xWindow="-108" yWindow="-108" windowWidth="23256" windowHeight="12456" xr2:uid="{A5818790-A675-4C63-90F0-2A893267172F}"/>
  </bookViews>
  <sheets>
    <sheet name="Sheet1" sheetId="1" r:id="rId1"/>
    <sheet name="Sheet2" sheetId="2" r:id="rId2"/>
  </sheets>
  <definedNames>
    <definedName name="_xlnm._FilterDatabase" localSheetId="0" hidden="1">Sheet1!$A$3:$T$108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4" i="2"/>
  <c r="I25" i="2"/>
  <c r="I26" i="2"/>
  <c r="I27" i="2"/>
  <c r="I28" i="2"/>
  <c r="I29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70" i="2"/>
  <c r="I71" i="2"/>
  <c r="I72" i="2"/>
  <c r="I73" i="2"/>
  <c r="I74" i="2"/>
  <c r="I75" i="2"/>
  <c r="I76" i="2"/>
  <c r="I77" i="2"/>
  <c r="I80" i="2"/>
  <c r="I81" i="2"/>
  <c r="I82" i="2"/>
  <c r="I83" i="2"/>
  <c r="I84" i="2"/>
  <c r="I85" i="2"/>
  <c r="I86" i="2"/>
  <c r="I87" i="2"/>
  <c r="I89" i="2"/>
  <c r="I90" i="2"/>
  <c r="I92" i="2"/>
  <c r="I93" i="2"/>
  <c r="I94" i="2"/>
  <c r="I95" i="2"/>
  <c r="I96" i="2"/>
  <c r="I97" i="2"/>
  <c r="I98" i="2"/>
  <c r="I99" i="2"/>
  <c r="I103" i="2"/>
  <c r="I104" i="2"/>
  <c r="I105" i="2"/>
  <c r="I106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2" i="2"/>
  <c r="R108" i="1" l="1"/>
  <c r="S108" i="1" s="1"/>
  <c r="R107" i="1"/>
  <c r="S107" i="1" s="1"/>
  <c r="R106" i="1"/>
  <c r="S106" i="1" s="1"/>
  <c r="R105" i="1"/>
  <c r="S105" i="1" s="1"/>
  <c r="R104" i="1"/>
  <c r="S104" i="1" s="1"/>
  <c r="R103" i="1"/>
  <c r="S103" i="1" s="1"/>
  <c r="R102" i="1"/>
  <c r="S102" i="1" s="1"/>
  <c r="R101" i="1"/>
  <c r="S101" i="1" s="1"/>
  <c r="R100" i="1"/>
  <c r="S100" i="1" s="1"/>
  <c r="R99" i="1"/>
  <c r="S99" i="1" s="1"/>
  <c r="R98" i="1"/>
  <c r="S98" i="1" s="1"/>
  <c r="R97" i="1"/>
  <c r="S97" i="1" s="1"/>
  <c r="R96" i="1"/>
  <c r="S96" i="1" s="1"/>
  <c r="R95" i="1"/>
  <c r="S95" i="1" s="1"/>
  <c r="R94" i="1"/>
  <c r="S94" i="1" s="1"/>
  <c r="R93" i="1"/>
  <c r="S93" i="1" s="1"/>
  <c r="R92" i="1"/>
  <c r="S92" i="1" s="1"/>
  <c r="R91" i="1"/>
  <c r="S91" i="1" s="1"/>
  <c r="R90" i="1"/>
  <c r="S90" i="1" s="1"/>
  <c r="R89" i="1"/>
  <c r="S89" i="1" s="1"/>
  <c r="R88" i="1"/>
  <c r="S88" i="1" s="1"/>
  <c r="R87" i="1"/>
  <c r="S87" i="1" s="1"/>
  <c r="R86" i="1"/>
  <c r="S86" i="1" s="1"/>
  <c r="R85" i="1"/>
  <c r="S85" i="1" s="1"/>
  <c r="R84" i="1"/>
  <c r="S84" i="1" s="1"/>
  <c r="R83" i="1"/>
  <c r="S83" i="1" s="1"/>
  <c r="R82" i="1"/>
  <c r="S82" i="1" s="1"/>
  <c r="R81" i="1"/>
  <c r="S81" i="1" s="1"/>
  <c r="R80" i="1"/>
  <c r="S80" i="1" s="1"/>
  <c r="R79" i="1"/>
  <c r="S79" i="1" s="1"/>
  <c r="R78" i="1"/>
  <c r="S78" i="1" s="1"/>
  <c r="R77" i="1"/>
  <c r="S77" i="1" s="1"/>
  <c r="R76" i="1"/>
  <c r="S76" i="1" s="1"/>
  <c r="R75" i="1"/>
  <c r="S75" i="1" s="1"/>
  <c r="R74" i="1"/>
  <c r="S74" i="1" s="1"/>
  <c r="R73" i="1"/>
  <c r="S73" i="1" s="1"/>
  <c r="R72" i="1"/>
  <c r="S72" i="1" s="1"/>
  <c r="R71" i="1"/>
  <c r="S71" i="1" s="1"/>
  <c r="R70" i="1"/>
  <c r="S70" i="1" s="1"/>
  <c r="R69" i="1"/>
  <c r="S69" i="1" s="1"/>
  <c r="R68" i="1"/>
  <c r="S68" i="1" s="1"/>
  <c r="R67" i="1"/>
  <c r="S67" i="1" s="1"/>
  <c r="R66" i="1"/>
  <c r="S66" i="1" s="1"/>
  <c r="R65" i="1"/>
  <c r="S65" i="1" s="1"/>
  <c r="R64" i="1"/>
  <c r="S64" i="1" s="1"/>
  <c r="R63" i="1"/>
  <c r="S63" i="1" s="1"/>
  <c r="R62" i="1"/>
  <c r="S62" i="1" s="1"/>
  <c r="R61" i="1"/>
  <c r="S61" i="1" s="1"/>
  <c r="R60" i="1"/>
  <c r="S60" i="1" s="1"/>
  <c r="R59" i="1"/>
  <c r="S59" i="1" s="1"/>
  <c r="R58" i="1"/>
  <c r="S58" i="1" s="1"/>
  <c r="R57" i="1"/>
  <c r="S57" i="1" s="1"/>
  <c r="R56" i="1"/>
  <c r="S56" i="1" s="1"/>
  <c r="R55" i="1"/>
  <c r="S55" i="1" s="1"/>
  <c r="R54" i="1"/>
  <c r="S54" i="1" s="1"/>
  <c r="R53" i="1"/>
  <c r="S53" i="1" s="1"/>
  <c r="R52" i="1"/>
  <c r="S52" i="1" s="1"/>
  <c r="R51" i="1"/>
  <c r="S51" i="1" s="1"/>
  <c r="R50" i="1"/>
  <c r="S50" i="1" s="1"/>
  <c r="R49" i="1"/>
  <c r="S49" i="1" s="1"/>
  <c r="R48" i="1"/>
  <c r="S48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S38" i="1" s="1"/>
  <c r="R37" i="1"/>
  <c r="S37" i="1" s="1"/>
  <c r="R36" i="1"/>
  <c r="S36" i="1" s="1"/>
  <c r="R35" i="1"/>
  <c r="S35" i="1" s="1"/>
  <c r="R34" i="1"/>
  <c r="S34" i="1" s="1"/>
  <c r="R33" i="1"/>
  <c r="S33" i="1" s="1"/>
  <c r="R32" i="1"/>
  <c r="S32" i="1" s="1"/>
  <c r="R31" i="1"/>
  <c r="S31" i="1" s="1"/>
  <c r="R30" i="1"/>
  <c r="S30" i="1" s="1"/>
  <c r="R29" i="1"/>
  <c r="S29" i="1" s="1"/>
  <c r="R28" i="1"/>
  <c r="S28" i="1" s="1"/>
  <c r="R27" i="1"/>
  <c r="S27" i="1" s="1"/>
  <c r="R26" i="1"/>
  <c r="S26" i="1" s="1"/>
  <c r="R25" i="1"/>
  <c r="S25" i="1" s="1"/>
  <c r="R24" i="1"/>
  <c r="S24" i="1" s="1"/>
  <c r="R23" i="1"/>
  <c r="S23" i="1" s="1"/>
  <c r="R22" i="1"/>
  <c r="S22" i="1" s="1"/>
  <c r="R21" i="1"/>
  <c r="S21" i="1" s="1"/>
  <c r="R20" i="1"/>
  <c r="S20" i="1" s="1"/>
  <c r="R19" i="1"/>
  <c r="S19" i="1" s="1"/>
  <c r="R18" i="1"/>
  <c r="S18" i="1" s="1"/>
  <c r="R17" i="1"/>
  <c r="S17" i="1" s="1"/>
  <c r="R16" i="1"/>
  <c r="S16" i="1" s="1"/>
  <c r="R15" i="1"/>
  <c r="S15" i="1" s="1"/>
  <c r="R14" i="1"/>
  <c r="S14" i="1" s="1"/>
  <c r="R13" i="1"/>
  <c r="S13" i="1" s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R5" i="1"/>
  <c r="S5" i="1" s="1"/>
  <c r="R4" i="1"/>
  <c r="S4" i="1" s="1"/>
</calcChain>
</file>

<file path=xl/sharedStrings.xml><?xml version="1.0" encoding="utf-8"?>
<sst xmlns="http://schemas.openxmlformats.org/spreadsheetml/2006/main" count="562" uniqueCount="150">
  <si>
    <t>Method 1= when there is uncertainity on demand and lead time independent</t>
  </si>
  <si>
    <t>Method 2=when there is uncertainity on demand</t>
  </si>
  <si>
    <t>Method 3= when there is uncertainity on lead time</t>
  </si>
  <si>
    <t>Method 4= when there is uncertainity on demand and lead time dependent</t>
  </si>
  <si>
    <t>Article Description</t>
  </si>
  <si>
    <t>Grade</t>
  </si>
  <si>
    <t>3 Months Sales</t>
  </si>
  <si>
    <t xml:space="preserve">Average Sales </t>
  </si>
  <si>
    <t xml:space="preserve">Z * sqrt( (A * B²) + (C *D)²) </t>
  </si>
  <si>
    <t>Reorder Point</t>
  </si>
  <si>
    <t>z*B*sqrt(A)</t>
  </si>
  <si>
    <t>Reorder point</t>
  </si>
  <si>
    <t>z* C* D</t>
  </si>
  <si>
    <t>z* B * sqrt(A) + z* C*D</t>
  </si>
  <si>
    <t>Final Method</t>
  </si>
  <si>
    <t>Reorder Point%</t>
  </si>
  <si>
    <t>Unit Stock</t>
  </si>
  <si>
    <t>Depot Stock</t>
  </si>
  <si>
    <t>Total Stock</t>
  </si>
  <si>
    <t>Intimation</t>
  </si>
  <si>
    <t>3116-Black-Boys</t>
  </si>
  <si>
    <t>Top Models</t>
  </si>
  <si>
    <t>Method 1</t>
  </si>
  <si>
    <t>3116-Black-Gents</t>
  </si>
  <si>
    <t>3116-Black-Giants</t>
  </si>
  <si>
    <t>3212-Black-Gents</t>
  </si>
  <si>
    <t>3212-Black-Giants</t>
  </si>
  <si>
    <t>3212-Brown-Gents</t>
  </si>
  <si>
    <t>3212-Brown-Giants</t>
  </si>
  <si>
    <t>3290-Black-Boys</t>
  </si>
  <si>
    <t>3290-Black-Gents</t>
  </si>
  <si>
    <t>3290-Black-Giants</t>
  </si>
  <si>
    <t>3290-Brown-Boys</t>
  </si>
  <si>
    <t>3290-Brown-Gents</t>
  </si>
  <si>
    <t>3290-Brown-Giants</t>
  </si>
  <si>
    <t>3797-Tan-Gents</t>
  </si>
  <si>
    <t>8129-Black-Ladies</t>
  </si>
  <si>
    <t>D7469-Black-Gents</t>
  </si>
  <si>
    <t>D7469-Black-Giants</t>
  </si>
  <si>
    <t>D7469-Brown-Gents</t>
  </si>
  <si>
    <t>D7469-Brown-Giants</t>
  </si>
  <si>
    <t>D9400-Brown-Gents</t>
  </si>
  <si>
    <t>DG9130-Tan-Gents</t>
  </si>
  <si>
    <t>DG9522-Navy Blue-Boys</t>
  </si>
  <si>
    <t>DG9522-Navy Blue-Gents</t>
  </si>
  <si>
    <t>GP1317-Black White-Gents</t>
  </si>
  <si>
    <t>Competition Similar</t>
  </si>
  <si>
    <t>Method 4</t>
  </si>
  <si>
    <t>GP1331-Black-Gents</t>
  </si>
  <si>
    <t>GP1331-Brown-Gents</t>
  </si>
  <si>
    <t>GP2624-Black-Gents</t>
  </si>
  <si>
    <t>GP4326-Black Red-Gents</t>
  </si>
  <si>
    <t>3116-Grey-Boys</t>
  </si>
  <si>
    <t>Fast Moving</t>
  </si>
  <si>
    <t>3116-Grey-Gents</t>
  </si>
  <si>
    <t>3290-White-Gents</t>
  </si>
  <si>
    <t>3796-Brown-Gents</t>
  </si>
  <si>
    <t>8333-Navy Blue-Ladies</t>
  </si>
  <si>
    <t>D7424-Brown-Gents</t>
  </si>
  <si>
    <t>DG9835-Grey Blue-Gents</t>
  </si>
  <si>
    <t>DL3410-Black-Ladies</t>
  </si>
  <si>
    <t>DX3404-Blue-Ladies</t>
  </si>
  <si>
    <t>3116-Mehandi-Gents</t>
  </si>
  <si>
    <t>Running</t>
  </si>
  <si>
    <t>3202-Black-Gents</t>
  </si>
  <si>
    <t>8129-Tan-Ladies</t>
  </si>
  <si>
    <t>DG9522-Black Grey-Gents</t>
  </si>
  <si>
    <t>DG9522-Tan Black-Gents</t>
  </si>
  <si>
    <t>P7494-Black-Gents</t>
  </si>
  <si>
    <t>3403-Black-Gents</t>
  </si>
  <si>
    <t>PT Fast Moving</t>
  </si>
  <si>
    <t>3403-Brown-Gents</t>
  </si>
  <si>
    <t>3403-Tan-Gents</t>
  </si>
  <si>
    <t>3403-Blue-Gents</t>
  </si>
  <si>
    <t>GP4387-Brown-Gents</t>
  </si>
  <si>
    <t>GP2624-Brown-Gents</t>
  </si>
  <si>
    <t>GP4030-Black-Gents</t>
  </si>
  <si>
    <t>GP2624-Tan-Gents</t>
  </si>
  <si>
    <t>GP4387-Tan-Gents</t>
  </si>
  <si>
    <t>GP4353-Black-Gents</t>
  </si>
  <si>
    <t>GP4353-Brown-Gents</t>
  </si>
  <si>
    <t>GP4030-Brown-Gents</t>
  </si>
  <si>
    <t>GP4387-Mehandi-Gents</t>
  </si>
  <si>
    <t>GP4604-Red Black-Gents</t>
  </si>
  <si>
    <t>LP1311-Blue-Ladies</t>
  </si>
  <si>
    <t>3403-Tan-Boys</t>
  </si>
  <si>
    <t>3403-Black-Boys</t>
  </si>
  <si>
    <t xml:space="preserve">Method 1 </t>
  </si>
  <si>
    <t>3403-Black-Giants</t>
  </si>
  <si>
    <t>3403-Brown-Giants</t>
  </si>
  <si>
    <t>3403-Brown-Jumbo</t>
  </si>
  <si>
    <t>3403-Tan-Jumbo</t>
  </si>
  <si>
    <t>GP4387-Brown-Boys</t>
  </si>
  <si>
    <t>GP4030-Black-Giants</t>
  </si>
  <si>
    <t>3403-Tan-Giants</t>
  </si>
  <si>
    <t>3403-Tan-Children</t>
  </si>
  <si>
    <t>GP4387-Brown-Giants</t>
  </si>
  <si>
    <t>3403-Black-Children</t>
  </si>
  <si>
    <t>3403-Black-Jumbo</t>
  </si>
  <si>
    <t>GP4030-Black-Boys</t>
  </si>
  <si>
    <t>3403-Brown-Boys</t>
  </si>
  <si>
    <t>GP4030-Brown-Giants</t>
  </si>
  <si>
    <t>GP4604-Red Black-Boys</t>
  </si>
  <si>
    <t>3403-Blue-Boys</t>
  </si>
  <si>
    <t>GP4030-Brown-Boys</t>
  </si>
  <si>
    <t>3403-Brown-Children</t>
  </si>
  <si>
    <t>3403-Blue-Children</t>
  </si>
  <si>
    <t>3403-Grey-Gents</t>
  </si>
  <si>
    <t>PT Running</t>
  </si>
  <si>
    <t>8129-Blue-Ladies</t>
  </si>
  <si>
    <t>DG9838-Blue-Gents</t>
  </si>
  <si>
    <t>Method 1/2</t>
  </si>
  <si>
    <t>DG9838-Blue Green-Boys</t>
  </si>
  <si>
    <t>DG9855-Brown-Gents</t>
  </si>
  <si>
    <t>GP4290-Camel-Gents</t>
  </si>
  <si>
    <t>Method1/2</t>
  </si>
  <si>
    <t>GP4357-Brown-Gents</t>
  </si>
  <si>
    <t>GP4357-Tan-Gents</t>
  </si>
  <si>
    <t>GP4361-Blue-Gents</t>
  </si>
  <si>
    <t>GP4604-Blue-Gents</t>
  </si>
  <si>
    <t>LE1305-Blue-Ladies</t>
  </si>
  <si>
    <t>LP1628-Blue-Ladies</t>
  </si>
  <si>
    <t>8129-Cream-Ladies</t>
  </si>
  <si>
    <t>PT Top Models</t>
  </si>
  <si>
    <t>GP4030-Tan-Gents</t>
  </si>
  <si>
    <t>GP4353-Mehandi-Gents</t>
  </si>
  <si>
    <t>LP1327-Black-Ladies</t>
  </si>
  <si>
    <t>3403-Brick-Gents</t>
  </si>
  <si>
    <t>PT New Model</t>
  </si>
  <si>
    <t xml:space="preserve">Method 2 </t>
  </si>
  <si>
    <t>DL3038-Brick-Ladies</t>
  </si>
  <si>
    <t>DL3458-Blue-Ladies</t>
  </si>
  <si>
    <t>DL3458-Peach-Children</t>
  </si>
  <si>
    <t>DL3458-Peach-Girls</t>
  </si>
  <si>
    <t>Method 2</t>
  </si>
  <si>
    <t>DL3458-Peach-Kids</t>
  </si>
  <si>
    <t>DL3458-Peach-Ladies</t>
  </si>
  <si>
    <t>SP40104-Brown-Gents</t>
  </si>
  <si>
    <t>SP42108-Blue-Gents</t>
  </si>
  <si>
    <t>SP42111-Black-Gents</t>
  </si>
  <si>
    <t>z=zscore of 90% service level</t>
  </si>
  <si>
    <t>D=Lead time standard deviation</t>
  </si>
  <si>
    <t>C=Average sale</t>
  </si>
  <si>
    <t>B=Demand standard deviation</t>
  </si>
  <si>
    <t>A=average lead time</t>
  </si>
  <si>
    <t xml:space="preserve">Reorder Point=Safety stock + Average Sale * Average Lead Time </t>
  </si>
  <si>
    <t>Safety Stock</t>
  </si>
  <si>
    <t>NOM</t>
  </si>
  <si>
    <t>Reorder Point + SS</t>
  </si>
  <si>
    <t>Difference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</si>
</sst>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3" fillId="2" borderId="6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585216</xdr:colOff>
      <xdr:row>0</xdr:row>
      <xdr:rowOff>316992</xdr:rowOff>
    </xdr:from>
    <xdr:to>
      <xdr:col>4</xdr:col>
      <xdr:colOff>361188</xdr:colOff>
      <xdr:row>1</xdr:row>
      <xdr:rowOff>605028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302039-89FD-88AD-754C-A4AEC3D4E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216" y="316992"/>
          <a:ext cx="372618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90FD-0342-4D43-A2B3-6AC3DD6A3212}">
  <dimension ref="B1:T108"/>
  <sheetViews>
    <sheetView tabSelected="1" zoomScale="99" zoomScaleNormal="100" workbookViewId="0">
      <pane xSplit="2" topLeftCell="C1" activePane="topRight" state="frozen"/>
      <selection pane="topRight" activeCell="H99" sqref="H99"/>
    </sheetView>
  </sheetViews>
  <sheetFormatPr defaultRowHeight="14.4" x14ac:dyDescent="0.3"/>
  <cols>
    <col min="2" max="2" width="23.21875" bestFit="1" customWidth="1"/>
    <col min="3" max="3" width="17.21875" bestFit="1" customWidth="1"/>
    <col min="4" max="4" width="8.21875" bestFit="1" customWidth="1"/>
    <col min="5" max="5" width="8.44140625" bestFit="1" customWidth="1"/>
    <col min="6" max="6" width="18.5546875" bestFit="1" customWidth="1"/>
    <col min="7" max="7" width="7.6640625" bestFit="1" customWidth="1"/>
    <col min="8" max="8" width="15" bestFit="1" customWidth="1"/>
    <col min="9" max="9" width="7.6640625" bestFit="1" customWidth="1"/>
    <col min="10" max="10" width="17.88671875" bestFit="1" customWidth="1"/>
    <col min="11" max="11" width="7.6640625" bestFit="1" customWidth="1"/>
    <col min="12" max="12" width="20.44140625" bestFit="1" customWidth="1"/>
    <col min="13" max="13" width="7.6640625" bestFit="1" customWidth="1"/>
    <col min="14" max="14" width="11.109375" bestFit="1" customWidth="1"/>
    <col min="15" max="15" width="7.6640625" bestFit="1" customWidth="1"/>
    <col min="16" max="16" width="5.6640625" bestFit="1" customWidth="1"/>
    <col min="17" max="17" width="6.109375" bestFit="1" customWidth="1"/>
    <col min="18" max="18" width="5.6640625" bestFit="1" customWidth="1"/>
    <col min="19" max="19" width="13.88671875" bestFit="1" customWidth="1"/>
    <col min="20" max="20" width="54.21875" bestFit="1" customWidth="1"/>
  </cols>
  <sheetData>
    <row r="1" spans="2:20" ht="64.2" customHeight="1" x14ac:dyDescent="0.3"/>
    <row r="2" spans="2:20" ht="57.6" x14ac:dyDescent="0.3">
      <c r="B2" s="1"/>
      <c r="C2" s="1"/>
      <c r="D2" s="1"/>
      <c r="E2" s="1"/>
      <c r="F2" s="2" t="s">
        <v>0</v>
      </c>
      <c r="G2" s="2"/>
      <c r="H2" s="2" t="s">
        <v>1</v>
      </c>
      <c r="I2" s="2"/>
      <c r="J2" s="2" t="s">
        <v>2</v>
      </c>
      <c r="K2" s="2"/>
      <c r="L2" s="2" t="s">
        <v>3</v>
      </c>
      <c r="M2" s="2"/>
      <c r="N2" s="2"/>
      <c r="O2" s="2"/>
      <c r="P2" s="2"/>
      <c r="Q2" s="2"/>
      <c r="R2" s="2"/>
      <c r="S2" s="2"/>
    </row>
    <row r="3" spans="2:20" ht="46.8" x14ac:dyDescent="0.3">
      <c r="B3" s="3" t="s">
        <v>4</v>
      </c>
      <c r="C3" s="3" t="s">
        <v>5</v>
      </c>
      <c r="D3" s="3" t="s">
        <v>6</v>
      </c>
      <c r="E3" s="3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9</v>
      </c>
      <c r="L3" s="5" t="s">
        <v>13</v>
      </c>
      <c r="M3" s="4" t="s">
        <v>9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</row>
    <row r="4" spans="2:20" x14ac:dyDescent="0.3">
      <c r="B4" s="6" t="s">
        <v>20</v>
      </c>
      <c r="C4" s="6" t="s">
        <v>21</v>
      </c>
      <c r="D4" s="6">
        <v>495</v>
      </c>
      <c r="E4" s="7">
        <v>89</v>
      </c>
      <c r="F4" s="8">
        <v>23</v>
      </c>
      <c r="G4" s="9">
        <v>53</v>
      </c>
      <c r="H4" s="10">
        <v>22</v>
      </c>
      <c r="I4" s="10">
        <v>52</v>
      </c>
      <c r="J4" s="10">
        <v>5</v>
      </c>
      <c r="K4" s="10">
        <v>35</v>
      </c>
      <c r="L4" s="10">
        <v>27</v>
      </c>
      <c r="M4" s="11">
        <v>57</v>
      </c>
      <c r="N4" s="12" t="s">
        <v>22</v>
      </c>
      <c r="O4" s="13">
        <v>1</v>
      </c>
      <c r="P4" s="14">
        <v>50</v>
      </c>
      <c r="Q4" s="14">
        <v>150</v>
      </c>
      <c r="R4" s="14">
        <f>SUM(P4:Q4)</f>
        <v>200</v>
      </c>
      <c r="S4" s="14" t="str">
        <f>IF(R4&lt;(G4+G4*10%),"Refill","Stock Available")</f>
        <v>Stock Available</v>
      </c>
      <c r="T4" t="s">
        <v>140</v>
      </c>
    </row>
    <row r="5" spans="2:20" x14ac:dyDescent="0.3">
      <c r="B5" s="6" t="s">
        <v>23</v>
      </c>
      <c r="C5" s="6" t="s">
        <v>21</v>
      </c>
      <c r="D5" s="6">
        <v>7875</v>
      </c>
      <c r="E5" s="7">
        <v>1547</v>
      </c>
      <c r="F5" s="8">
        <v>96</v>
      </c>
      <c r="G5" s="9">
        <v>620</v>
      </c>
      <c r="H5" s="10">
        <v>55</v>
      </c>
      <c r="I5" s="10">
        <v>579</v>
      </c>
      <c r="J5" s="10">
        <v>79</v>
      </c>
      <c r="K5" s="10">
        <v>603</v>
      </c>
      <c r="L5" s="10">
        <v>134</v>
      </c>
      <c r="M5" s="10">
        <v>658</v>
      </c>
      <c r="N5" s="14" t="s">
        <v>22</v>
      </c>
      <c r="O5" s="13">
        <v>1</v>
      </c>
      <c r="P5" s="14">
        <v>100</v>
      </c>
      <c r="Q5" s="14">
        <v>67</v>
      </c>
      <c r="R5" s="14">
        <f t="shared" ref="R5:R68" si="0">SUM(P5:Q5)</f>
        <v>167</v>
      </c>
      <c r="S5" s="14" t="str">
        <f t="shared" ref="S5:S26" si="1">IF(R5&lt;(G5+G5*10%),"Refill","Stock Available")</f>
        <v>Refill</v>
      </c>
      <c r="T5" t="s">
        <v>141</v>
      </c>
    </row>
    <row r="6" spans="2:20" x14ac:dyDescent="0.3">
      <c r="B6" s="6" t="s">
        <v>24</v>
      </c>
      <c r="C6" s="6" t="s">
        <v>21</v>
      </c>
      <c r="D6" s="6">
        <v>239</v>
      </c>
      <c r="E6" s="7">
        <v>37</v>
      </c>
      <c r="F6" s="8">
        <v>4</v>
      </c>
      <c r="G6" s="9">
        <v>17</v>
      </c>
      <c r="H6" s="10">
        <v>4</v>
      </c>
      <c r="I6" s="10">
        <v>17</v>
      </c>
      <c r="J6" s="10">
        <v>2</v>
      </c>
      <c r="K6" s="10">
        <v>15</v>
      </c>
      <c r="L6" s="10">
        <v>6</v>
      </c>
      <c r="M6" s="10">
        <v>19</v>
      </c>
      <c r="N6" s="14" t="s">
        <v>22</v>
      </c>
      <c r="O6" s="13">
        <v>1</v>
      </c>
      <c r="P6" s="14">
        <v>90</v>
      </c>
      <c r="Q6" s="14">
        <v>54</v>
      </c>
      <c r="R6" s="14">
        <f t="shared" si="0"/>
        <v>144</v>
      </c>
      <c r="S6" s="14" t="str">
        <f t="shared" si="1"/>
        <v>Stock Available</v>
      </c>
      <c r="T6" t="s">
        <v>142</v>
      </c>
    </row>
    <row r="7" spans="2:20" x14ac:dyDescent="0.3">
      <c r="B7" s="6" t="s">
        <v>25</v>
      </c>
      <c r="C7" s="6" t="s">
        <v>21</v>
      </c>
      <c r="D7" s="6">
        <v>4363</v>
      </c>
      <c r="E7" s="7">
        <v>767</v>
      </c>
      <c r="F7" s="8">
        <v>110</v>
      </c>
      <c r="G7" s="9">
        <v>369</v>
      </c>
      <c r="H7" s="10">
        <v>103</v>
      </c>
      <c r="I7" s="10">
        <v>362</v>
      </c>
      <c r="J7" s="10">
        <v>39</v>
      </c>
      <c r="K7" s="10">
        <v>298</v>
      </c>
      <c r="L7" s="10">
        <v>142</v>
      </c>
      <c r="M7" s="10">
        <v>401</v>
      </c>
      <c r="N7" s="12" t="s">
        <v>22</v>
      </c>
      <c r="O7" s="13">
        <v>1</v>
      </c>
      <c r="P7" s="14">
        <v>85</v>
      </c>
      <c r="Q7" s="14">
        <v>0</v>
      </c>
      <c r="R7" s="14">
        <f t="shared" si="0"/>
        <v>85</v>
      </c>
      <c r="S7" s="14" t="str">
        <f t="shared" si="1"/>
        <v>Refill</v>
      </c>
      <c r="T7" t="s">
        <v>143</v>
      </c>
    </row>
    <row r="8" spans="2:20" x14ac:dyDescent="0.3">
      <c r="B8" s="6" t="s">
        <v>26</v>
      </c>
      <c r="C8" s="6" t="s">
        <v>21</v>
      </c>
      <c r="D8" s="6">
        <v>622</v>
      </c>
      <c r="E8" s="7">
        <v>106</v>
      </c>
      <c r="F8" s="8">
        <v>13</v>
      </c>
      <c r="G8" s="9">
        <v>49</v>
      </c>
      <c r="H8" s="10">
        <v>12</v>
      </c>
      <c r="I8" s="10">
        <v>48</v>
      </c>
      <c r="J8" s="10">
        <v>5</v>
      </c>
      <c r="K8" s="10">
        <v>41</v>
      </c>
      <c r="L8" s="10">
        <v>18</v>
      </c>
      <c r="M8" s="10">
        <v>54</v>
      </c>
      <c r="N8" s="14" t="s">
        <v>22</v>
      </c>
      <c r="O8" s="13">
        <v>1</v>
      </c>
      <c r="P8" s="14">
        <v>63</v>
      </c>
      <c r="Q8" s="14">
        <v>33</v>
      </c>
      <c r="R8" s="14">
        <f t="shared" si="0"/>
        <v>96</v>
      </c>
      <c r="S8" s="14" t="str">
        <f t="shared" si="1"/>
        <v>Stock Available</v>
      </c>
      <c r="T8" t="s">
        <v>144</v>
      </c>
    </row>
    <row r="9" spans="2:20" x14ac:dyDescent="0.3">
      <c r="B9" s="6" t="s">
        <v>27</v>
      </c>
      <c r="C9" s="6" t="s">
        <v>21</v>
      </c>
      <c r="D9" s="6">
        <v>5536</v>
      </c>
      <c r="E9" s="7">
        <v>998</v>
      </c>
      <c r="F9" s="8">
        <v>87</v>
      </c>
      <c r="G9" s="9">
        <v>425</v>
      </c>
      <c r="H9" s="10">
        <v>70</v>
      </c>
      <c r="I9" s="10">
        <v>408</v>
      </c>
      <c r="J9" s="10">
        <v>51</v>
      </c>
      <c r="K9" s="10">
        <v>389</v>
      </c>
      <c r="L9" s="10">
        <v>121</v>
      </c>
      <c r="M9" s="10">
        <v>459</v>
      </c>
      <c r="N9" s="14" t="s">
        <v>22</v>
      </c>
      <c r="O9" s="13">
        <v>1</v>
      </c>
      <c r="P9" s="14">
        <v>41</v>
      </c>
      <c r="Q9" s="14">
        <v>89</v>
      </c>
      <c r="R9" s="14">
        <f t="shared" si="0"/>
        <v>130</v>
      </c>
      <c r="S9" s="14" t="str">
        <f t="shared" si="1"/>
        <v>Refill</v>
      </c>
      <c r="T9" t="s">
        <v>145</v>
      </c>
    </row>
    <row r="10" spans="2:20" x14ac:dyDescent="0.3">
      <c r="B10" s="6" t="s">
        <v>28</v>
      </c>
      <c r="C10" s="6" t="s">
        <v>21</v>
      </c>
      <c r="D10" s="6">
        <v>744</v>
      </c>
      <c r="E10" s="7">
        <v>123</v>
      </c>
      <c r="F10" s="8">
        <v>24</v>
      </c>
      <c r="G10" s="9">
        <v>66</v>
      </c>
      <c r="H10" s="10">
        <v>24</v>
      </c>
      <c r="I10" s="10">
        <v>66</v>
      </c>
      <c r="J10" s="10">
        <v>6</v>
      </c>
      <c r="K10" s="10">
        <v>48</v>
      </c>
      <c r="L10" s="10">
        <v>30</v>
      </c>
      <c r="M10" s="10">
        <v>72</v>
      </c>
      <c r="N10" s="12" t="s">
        <v>22</v>
      </c>
      <c r="O10" s="13">
        <v>1</v>
      </c>
      <c r="P10" s="14">
        <v>28</v>
      </c>
      <c r="Q10" s="14">
        <v>54</v>
      </c>
      <c r="R10" s="14">
        <f t="shared" si="0"/>
        <v>82</v>
      </c>
      <c r="S10" s="14" t="str">
        <f t="shared" si="1"/>
        <v>Stock Available</v>
      </c>
    </row>
    <row r="11" spans="2:20" x14ac:dyDescent="0.3">
      <c r="B11" s="6" t="s">
        <v>29</v>
      </c>
      <c r="C11" s="6" t="s">
        <v>21</v>
      </c>
      <c r="D11" s="6">
        <v>316</v>
      </c>
      <c r="E11" s="7">
        <v>56</v>
      </c>
      <c r="F11" s="8">
        <v>4</v>
      </c>
      <c r="G11" s="9">
        <v>23</v>
      </c>
      <c r="H11" s="10">
        <v>3</v>
      </c>
      <c r="I11" s="10">
        <v>22</v>
      </c>
      <c r="J11" s="10">
        <v>3</v>
      </c>
      <c r="K11" s="10">
        <v>22</v>
      </c>
      <c r="L11" s="10">
        <v>6</v>
      </c>
      <c r="M11" s="10">
        <v>25</v>
      </c>
      <c r="N11" s="14" t="s">
        <v>22</v>
      </c>
      <c r="O11" s="13">
        <v>1</v>
      </c>
      <c r="P11" s="14">
        <v>102</v>
      </c>
      <c r="Q11" s="14">
        <v>32</v>
      </c>
      <c r="R11" s="14">
        <f t="shared" si="0"/>
        <v>134</v>
      </c>
      <c r="S11" s="14" t="str">
        <f t="shared" si="1"/>
        <v>Stock Available</v>
      </c>
    </row>
    <row r="12" spans="2:20" x14ac:dyDescent="0.3">
      <c r="B12" s="6" t="s">
        <v>30</v>
      </c>
      <c r="C12" s="6" t="s">
        <v>21</v>
      </c>
      <c r="D12" s="6">
        <v>4735</v>
      </c>
      <c r="E12" s="7">
        <v>788</v>
      </c>
      <c r="F12" s="8">
        <v>113</v>
      </c>
      <c r="G12" s="9">
        <v>380</v>
      </c>
      <c r="H12" s="10">
        <v>106</v>
      </c>
      <c r="I12" s="10">
        <v>373</v>
      </c>
      <c r="J12" s="10">
        <v>40</v>
      </c>
      <c r="K12" s="10">
        <v>307</v>
      </c>
      <c r="L12" s="10">
        <v>146</v>
      </c>
      <c r="M12" s="10">
        <v>413</v>
      </c>
      <c r="N12" s="14" t="s">
        <v>22</v>
      </c>
      <c r="O12" s="13">
        <v>1</v>
      </c>
      <c r="P12" s="14">
        <v>77</v>
      </c>
      <c r="Q12" s="14">
        <v>44</v>
      </c>
      <c r="R12" s="14">
        <f t="shared" si="0"/>
        <v>121</v>
      </c>
      <c r="S12" s="14" t="str">
        <f t="shared" si="1"/>
        <v>Refill</v>
      </c>
    </row>
    <row r="13" spans="2:20" x14ac:dyDescent="0.3">
      <c r="B13" s="6" t="s">
        <v>31</v>
      </c>
      <c r="C13" s="6" t="s">
        <v>21</v>
      </c>
      <c r="D13" s="6">
        <v>692</v>
      </c>
      <c r="E13" s="7">
        <v>107</v>
      </c>
      <c r="F13" s="8">
        <v>9</v>
      </c>
      <c r="G13" s="9">
        <v>45</v>
      </c>
      <c r="H13" s="10">
        <v>7</v>
      </c>
      <c r="I13" s="10">
        <v>43</v>
      </c>
      <c r="J13" s="10">
        <v>5</v>
      </c>
      <c r="K13" s="10">
        <v>41</v>
      </c>
      <c r="L13" s="10">
        <v>12</v>
      </c>
      <c r="M13" s="10">
        <v>48</v>
      </c>
      <c r="N13" s="12" t="s">
        <v>22</v>
      </c>
      <c r="O13" s="13">
        <v>1</v>
      </c>
      <c r="P13" s="14">
        <v>33</v>
      </c>
      <c r="Q13" s="14">
        <v>57</v>
      </c>
      <c r="R13" s="14">
        <f t="shared" si="0"/>
        <v>90</v>
      </c>
      <c r="S13" s="14" t="str">
        <f t="shared" si="1"/>
        <v>Stock Available</v>
      </c>
    </row>
    <row r="14" spans="2:20" x14ac:dyDescent="0.3">
      <c r="B14" s="6" t="s">
        <v>32</v>
      </c>
      <c r="C14" s="6" t="s">
        <v>21</v>
      </c>
      <c r="D14" s="6">
        <v>502</v>
      </c>
      <c r="E14" s="7">
        <v>94</v>
      </c>
      <c r="F14" s="8">
        <v>9</v>
      </c>
      <c r="G14" s="9">
        <v>41</v>
      </c>
      <c r="H14" s="10">
        <v>7</v>
      </c>
      <c r="I14" s="10">
        <v>39</v>
      </c>
      <c r="J14" s="10">
        <v>5</v>
      </c>
      <c r="K14" s="10">
        <v>37</v>
      </c>
      <c r="L14" s="10">
        <v>12</v>
      </c>
      <c r="M14" s="10">
        <v>44</v>
      </c>
      <c r="N14" s="14" t="s">
        <v>22</v>
      </c>
      <c r="O14" s="13">
        <v>1</v>
      </c>
      <c r="P14" s="14">
        <v>64</v>
      </c>
      <c r="Q14" s="14">
        <v>0</v>
      </c>
      <c r="R14" s="14">
        <f t="shared" si="0"/>
        <v>64</v>
      </c>
      <c r="S14" s="14" t="str">
        <f t="shared" si="1"/>
        <v>Stock Available</v>
      </c>
    </row>
    <row r="15" spans="2:20" x14ac:dyDescent="0.3">
      <c r="B15" s="6" t="s">
        <v>33</v>
      </c>
      <c r="C15" s="6" t="s">
        <v>21</v>
      </c>
      <c r="D15" s="6">
        <v>6503</v>
      </c>
      <c r="E15" s="7">
        <v>1105</v>
      </c>
      <c r="F15" s="8">
        <v>100</v>
      </c>
      <c r="G15" s="9">
        <v>474</v>
      </c>
      <c r="H15" s="10">
        <v>83</v>
      </c>
      <c r="I15" s="10">
        <v>457</v>
      </c>
      <c r="J15" s="10">
        <v>56</v>
      </c>
      <c r="K15" s="10">
        <v>430</v>
      </c>
      <c r="L15" s="10">
        <v>139</v>
      </c>
      <c r="M15" s="10">
        <v>513</v>
      </c>
      <c r="N15" s="14" t="s">
        <v>22</v>
      </c>
      <c r="O15" s="13">
        <v>1</v>
      </c>
      <c r="P15" s="14">
        <v>38</v>
      </c>
      <c r="Q15" s="14">
        <v>49</v>
      </c>
      <c r="R15" s="14">
        <f t="shared" si="0"/>
        <v>87</v>
      </c>
      <c r="S15" s="14" t="str">
        <f t="shared" si="1"/>
        <v>Refill</v>
      </c>
    </row>
    <row r="16" spans="2:20" x14ac:dyDescent="0.3">
      <c r="B16" s="6" t="s">
        <v>34</v>
      </c>
      <c r="C16" s="6" t="s">
        <v>21</v>
      </c>
      <c r="D16" s="6">
        <v>832</v>
      </c>
      <c r="E16" s="7">
        <v>133</v>
      </c>
      <c r="F16" s="8">
        <v>21</v>
      </c>
      <c r="G16" s="9">
        <v>66</v>
      </c>
      <c r="H16" s="10">
        <v>20</v>
      </c>
      <c r="I16" s="10">
        <v>65</v>
      </c>
      <c r="J16" s="10">
        <v>7</v>
      </c>
      <c r="K16" s="10">
        <v>52</v>
      </c>
      <c r="L16" s="10">
        <v>27</v>
      </c>
      <c r="M16" s="10">
        <v>72</v>
      </c>
      <c r="N16" s="12" t="s">
        <v>22</v>
      </c>
      <c r="O16" s="13">
        <v>1</v>
      </c>
      <c r="P16" s="14">
        <v>97</v>
      </c>
      <c r="Q16" s="14">
        <v>76</v>
      </c>
      <c r="R16" s="14">
        <f t="shared" si="0"/>
        <v>173</v>
      </c>
      <c r="S16" s="14" t="str">
        <f t="shared" si="1"/>
        <v>Stock Available</v>
      </c>
    </row>
    <row r="17" spans="2:19" x14ac:dyDescent="0.3">
      <c r="B17" s="6" t="s">
        <v>35</v>
      </c>
      <c r="C17" s="6" t="s">
        <v>21</v>
      </c>
      <c r="D17" s="6">
        <v>4188</v>
      </c>
      <c r="E17" s="7">
        <v>672</v>
      </c>
      <c r="F17" s="8">
        <v>141</v>
      </c>
      <c r="G17" s="9">
        <v>369</v>
      </c>
      <c r="H17" s="10">
        <v>137</v>
      </c>
      <c r="I17" s="10">
        <v>365</v>
      </c>
      <c r="J17" s="10">
        <v>34</v>
      </c>
      <c r="K17" s="10">
        <v>262</v>
      </c>
      <c r="L17" s="10">
        <v>172</v>
      </c>
      <c r="M17" s="10">
        <v>400</v>
      </c>
      <c r="N17" s="14" t="s">
        <v>22</v>
      </c>
      <c r="O17" s="13">
        <v>1</v>
      </c>
      <c r="P17" s="14">
        <v>85</v>
      </c>
      <c r="Q17" s="14">
        <v>36</v>
      </c>
      <c r="R17" s="14">
        <f t="shared" si="0"/>
        <v>121</v>
      </c>
      <c r="S17" s="14" t="str">
        <f t="shared" si="1"/>
        <v>Refill</v>
      </c>
    </row>
    <row r="18" spans="2:19" x14ac:dyDescent="0.3">
      <c r="B18" s="6" t="s">
        <v>36</v>
      </c>
      <c r="C18" s="6" t="s">
        <v>21</v>
      </c>
      <c r="D18" s="6">
        <v>4088</v>
      </c>
      <c r="E18" s="7">
        <v>699</v>
      </c>
      <c r="F18" s="8">
        <v>92</v>
      </c>
      <c r="G18" s="9">
        <v>328</v>
      </c>
      <c r="H18" s="10">
        <v>85</v>
      </c>
      <c r="I18" s="10">
        <v>321</v>
      </c>
      <c r="J18" s="10">
        <v>36</v>
      </c>
      <c r="K18" s="10">
        <v>272</v>
      </c>
      <c r="L18" s="10">
        <v>121</v>
      </c>
      <c r="M18" s="10">
        <v>357</v>
      </c>
      <c r="N18" s="14" t="s">
        <v>22</v>
      </c>
      <c r="O18" s="13">
        <v>1</v>
      </c>
      <c r="P18" s="14">
        <v>46</v>
      </c>
      <c r="Q18" s="14">
        <v>99</v>
      </c>
      <c r="R18" s="14">
        <f t="shared" si="0"/>
        <v>145</v>
      </c>
      <c r="S18" s="14" t="str">
        <f t="shared" si="1"/>
        <v>Refill</v>
      </c>
    </row>
    <row r="19" spans="2:19" x14ac:dyDescent="0.3">
      <c r="B19" s="6" t="s">
        <v>37</v>
      </c>
      <c r="C19" s="6" t="s">
        <v>21</v>
      </c>
      <c r="D19" s="6">
        <v>2367</v>
      </c>
      <c r="E19" s="7">
        <v>384</v>
      </c>
      <c r="F19" s="8">
        <v>106</v>
      </c>
      <c r="G19" s="9">
        <v>236</v>
      </c>
      <c r="H19" s="10">
        <v>104</v>
      </c>
      <c r="I19" s="10">
        <v>234</v>
      </c>
      <c r="J19" s="10">
        <v>20</v>
      </c>
      <c r="K19" s="10">
        <v>150</v>
      </c>
      <c r="L19" s="10">
        <v>124</v>
      </c>
      <c r="M19" s="10">
        <v>254</v>
      </c>
      <c r="N19" s="12" t="s">
        <v>22</v>
      </c>
      <c r="O19" s="13">
        <v>1</v>
      </c>
      <c r="P19" s="14">
        <v>75</v>
      </c>
      <c r="Q19" s="14">
        <v>88</v>
      </c>
      <c r="R19" s="14">
        <f t="shared" si="0"/>
        <v>163</v>
      </c>
      <c r="S19" s="14" t="str">
        <f t="shared" si="1"/>
        <v>Refill</v>
      </c>
    </row>
    <row r="20" spans="2:19" x14ac:dyDescent="0.3">
      <c r="B20" s="6" t="s">
        <v>38</v>
      </c>
      <c r="C20" s="6" t="s">
        <v>21</v>
      </c>
      <c r="D20" s="6">
        <v>763</v>
      </c>
      <c r="E20" s="7">
        <v>141</v>
      </c>
      <c r="F20" s="8">
        <v>34</v>
      </c>
      <c r="G20" s="9">
        <v>82</v>
      </c>
      <c r="H20" s="10">
        <v>33</v>
      </c>
      <c r="I20" s="10">
        <v>81</v>
      </c>
      <c r="J20" s="10">
        <v>7</v>
      </c>
      <c r="K20" s="10">
        <v>55</v>
      </c>
      <c r="L20" s="10">
        <v>40</v>
      </c>
      <c r="M20" s="10">
        <v>88</v>
      </c>
      <c r="N20" s="14" t="s">
        <v>22</v>
      </c>
      <c r="O20" s="13">
        <v>1</v>
      </c>
      <c r="P20" s="14">
        <v>23</v>
      </c>
      <c r="Q20" s="14">
        <v>120</v>
      </c>
      <c r="R20" s="14">
        <f t="shared" si="0"/>
        <v>143</v>
      </c>
      <c r="S20" s="14" t="str">
        <f t="shared" si="1"/>
        <v>Stock Available</v>
      </c>
    </row>
    <row r="21" spans="2:19" x14ac:dyDescent="0.3">
      <c r="B21" s="6" t="s">
        <v>39</v>
      </c>
      <c r="C21" s="6" t="s">
        <v>21</v>
      </c>
      <c r="D21" s="6">
        <v>2367</v>
      </c>
      <c r="E21" s="7">
        <v>355</v>
      </c>
      <c r="F21" s="8">
        <v>20</v>
      </c>
      <c r="G21" s="9">
        <v>140</v>
      </c>
      <c r="H21" s="10">
        <v>9</v>
      </c>
      <c r="I21" s="10">
        <v>129</v>
      </c>
      <c r="J21" s="10">
        <v>18</v>
      </c>
      <c r="K21" s="10">
        <v>138</v>
      </c>
      <c r="L21" s="10">
        <v>27</v>
      </c>
      <c r="M21" s="10">
        <v>147</v>
      </c>
      <c r="N21" s="14" t="s">
        <v>22</v>
      </c>
      <c r="O21" s="13">
        <v>1</v>
      </c>
      <c r="P21" s="14">
        <v>48</v>
      </c>
      <c r="Q21" s="14">
        <v>33</v>
      </c>
      <c r="R21" s="14">
        <f t="shared" si="0"/>
        <v>81</v>
      </c>
      <c r="S21" s="14" t="str">
        <f t="shared" si="1"/>
        <v>Refill</v>
      </c>
    </row>
    <row r="22" spans="2:19" x14ac:dyDescent="0.3">
      <c r="B22" s="6" t="s">
        <v>40</v>
      </c>
      <c r="C22" s="6" t="s">
        <v>21</v>
      </c>
      <c r="D22" s="6">
        <v>792</v>
      </c>
      <c r="E22" s="7">
        <v>130</v>
      </c>
      <c r="F22" s="8">
        <v>44</v>
      </c>
      <c r="G22" s="9">
        <v>88</v>
      </c>
      <c r="H22" s="10">
        <v>43</v>
      </c>
      <c r="I22" s="10">
        <v>87</v>
      </c>
      <c r="J22" s="10">
        <v>7</v>
      </c>
      <c r="K22" s="10">
        <v>51</v>
      </c>
      <c r="L22" s="10">
        <v>50</v>
      </c>
      <c r="M22" s="10">
        <v>94</v>
      </c>
      <c r="N22" s="12" t="s">
        <v>22</v>
      </c>
      <c r="O22" s="13">
        <v>1</v>
      </c>
      <c r="P22" s="14">
        <v>90</v>
      </c>
      <c r="Q22" s="14">
        <v>22</v>
      </c>
      <c r="R22" s="14">
        <f t="shared" si="0"/>
        <v>112</v>
      </c>
      <c r="S22" s="14" t="str">
        <f t="shared" si="1"/>
        <v>Stock Available</v>
      </c>
    </row>
    <row r="23" spans="2:19" x14ac:dyDescent="0.3">
      <c r="B23" s="6" t="s">
        <v>41</v>
      </c>
      <c r="C23" s="6" t="s">
        <v>21</v>
      </c>
      <c r="D23" s="6">
        <v>4929</v>
      </c>
      <c r="E23" s="7">
        <v>848</v>
      </c>
      <c r="F23" s="8">
        <v>78</v>
      </c>
      <c r="G23" s="9">
        <v>365</v>
      </c>
      <c r="H23" s="10">
        <v>65</v>
      </c>
      <c r="I23" s="10">
        <v>352</v>
      </c>
      <c r="J23" s="10">
        <v>43</v>
      </c>
      <c r="K23" s="10">
        <v>330</v>
      </c>
      <c r="L23" s="10">
        <v>108</v>
      </c>
      <c r="M23" s="10">
        <v>395</v>
      </c>
      <c r="N23" s="14" t="s">
        <v>22</v>
      </c>
      <c r="O23" s="13">
        <v>1</v>
      </c>
      <c r="P23" s="14">
        <v>88</v>
      </c>
      <c r="Q23" s="14">
        <v>45</v>
      </c>
      <c r="R23" s="14">
        <f t="shared" si="0"/>
        <v>133</v>
      </c>
      <c r="S23" s="14" t="str">
        <f t="shared" si="1"/>
        <v>Refill</v>
      </c>
    </row>
    <row r="24" spans="2:19" x14ac:dyDescent="0.3">
      <c r="B24" s="6" t="s">
        <v>42</v>
      </c>
      <c r="C24" s="6" t="s">
        <v>21</v>
      </c>
      <c r="D24" s="6">
        <v>2776</v>
      </c>
      <c r="E24" s="7">
        <v>362</v>
      </c>
      <c r="F24" s="8">
        <v>41</v>
      </c>
      <c r="G24" s="9">
        <v>164</v>
      </c>
      <c r="H24" s="10">
        <v>36</v>
      </c>
      <c r="I24" s="10">
        <v>159</v>
      </c>
      <c r="J24" s="10">
        <v>18</v>
      </c>
      <c r="K24" s="10">
        <v>141</v>
      </c>
      <c r="L24" s="10">
        <v>55</v>
      </c>
      <c r="M24" s="10">
        <v>178</v>
      </c>
      <c r="N24" s="14" t="s">
        <v>22</v>
      </c>
      <c r="O24" s="13">
        <v>1</v>
      </c>
      <c r="P24" s="14">
        <v>73</v>
      </c>
      <c r="Q24" s="14">
        <v>67</v>
      </c>
      <c r="R24" s="14">
        <f t="shared" si="0"/>
        <v>140</v>
      </c>
      <c r="S24" s="14" t="str">
        <f t="shared" si="1"/>
        <v>Refill</v>
      </c>
    </row>
    <row r="25" spans="2:19" x14ac:dyDescent="0.3">
      <c r="B25" s="6" t="s">
        <v>43</v>
      </c>
      <c r="C25" s="6" t="s">
        <v>21</v>
      </c>
      <c r="D25" s="6">
        <v>360</v>
      </c>
      <c r="E25" s="7">
        <v>41</v>
      </c>
      <c r="F25" s="8">
        <v>12</v>
      </c>
      <c r="G25" s="9">
        <v>26</v>
      </c>
      <c r="H25" s="10">
        <v>11</v>
      </c>
      <c r="I25" s="10">
        <v>25</v>
      </c>
      <c r="J25" s="10">
        <v>2</v>
      </c>
      <c r="K25" s="10">
        <v>16</v>
      </c>
      <c r="L25" s="10">
        <v>14</v>
      </c>
      <c r="M25" s="10">
        <v>28</v>
      </c>
      <c r="N25" s="12" t="s">
        <v>22</v>
      </c>
      <c r="O25" s="13">
        <v>1</v>
      </c>
      <c r="P25" s="14">
        <v>66</v>
      </c>
      <c r="Q25" s="14">
        <v>31</v>
      </c>
      <c r="R25" s="14">
        <f t="shared" si="0"/>
        <v>97</v>
      </c>
      <c r="S25" s="14" t="str">
        <f t="shared" si="1"/>
        <v>Stock Available</v>
      </c>
    </row>
    <row r="26" spans="2:19" x14ac:dyDescent="0.3">
      <c r="B26" s="6" t="s">
        <v>44</v>
      </c>
      <c r="C26" s="6" t="s">
        <v>21</v>
      </c>
      <c r="D26" s="6">
        <v>1940</v>
      </c>
      <c r="E26" s="7">
        <v>301</v>
      </c>
      <c r="F26" s="8">
        <v>62</v>
      </c>
      <c r="G26" s="9">
        <v>164</v>
      </c>
      <c r="H26" s="10">
        <v>60</v>
      </c>
      <c r="I26" s="10">
        <v>162</v>
      </c>
      <c r="J26" s="10">
        <v>15</v>
      </c>
      <c r="K26" s="10">
        <v>117</v>
      </c>
      <c r="L26" s="10">
        <v>75</v>
      </c>
      <c r="M26" s="10">
        <v>177</v>
      </c>
      <c r="N26" s="14" t="s">
        <v>22</v>
      </c>
      <c r="O26" s="13">
        <v>1</v>
      </c>
      <c r="P26" s="14">
        <v>46</v>
      </c>
      <c r="Q26" s="14">
        <v>44</v>
      </c>
      <c r="R26" s="14">
        <f t="shared" si="0"/>
        <v>90</v>
      </c>
      <c r="S26" s="14" t="str">
        <f t="shared" si="1"/>
        <v>Refill</v>
      </c>
    </row>
    <row r="27" spans="2:19" x14ac:dyDescent="0.3">
      <c r="B27" s="6" t="s">
        <v>45</v>
      </c>
      <c r="C27" s="6" t="s">
        <v>46</v>
      </c>
      <c r="D27" s="6">
        <v>2201</v>
      </c>
      <c r="E27" s="15">
        <v>324.33333333333331</v>
      </c>
      <c r="F27" s="10">
        <v>24</v>
      </c>
      <c r="G27" s="10">
        <v>134</v>
      </c>
      <c r="H27" s="10">
        <v>17</v>
      </c>
      <c r="I27" s="10">
        <v>127</v>
      </c>
      <c r="J27" s="10">
        <v>17</v>
      </c>
      <c r="K27" s="10">
        <v>127</v>
      </c>
      <c r="L27" s="8">
        <v>34</v>
      </c>
      <c r="M27" s="8">
        <v>144</v>
      </c>
      <c r="N27" s="16" t="s">
        <v>47</v>
      </c>
      <c r="O27" s="13">
        <v>1</v>
      </c>
      <c r="P27" s="14">
        <v>51</v>
      </c>
      <c r="Q27" s="14">
        <v>78</v>
      </c>
      <c r="R27" s="14">
        <f t="shared" si="0"/>
        <v>129</v>
      </c>
      <c r="S27" s="14" t="str">
        <f>IF(R27&lt;(M27+M27*10%),"Refill","Stock Available")</f>
        <v>Refill</v>
      </c>
    </row>
    <row r="28" spans="2:19" x14ac:dyDescent="0.3">
      <c r="B28" s="6" t="s">
        <v>48</v>
      </c>
      <c r="C28" s="6" t="s">
        <v>46</v>
      </c>
      <c r="D28" s="6">
        <v>1992</v>
      </c>
      <c r="E28" s="15">
        <v>337.66666666666669</v>
      </c>
      <c r="F28" s="10">
        <v>43</v>
      </c>
      <c r="G28" s="10">
        <v>157</v>
      </c>
      <c r="H28" s="10">
        <v>40</v>
      </c>
      <c r="I28" s="10">
        <v>154</v>
      </c>
      <c r="J28" s="10">
        <v>17</v>
      </c>
      <c r="K28" s="10">
        <v>131</v>
      </c>
      <c r="L28" s="8">
        <v>57</v>
      </c>
      <c r="M28" s="8">
        <v>171</v>
      </c>
      <c r="N28" s="16" t="s">
        <v>47</v>
      </c>
      <c r="O28" s="13">
        <v>1</v>
      </c>
      <c r="P28" s="14">
        <v>73</v>
      </c>
      <c r="Q28" s="14">
        <v>100</v>
      </c>
      <c r="R28" s="14">
        <f t="shared" si="0"/>
        <v>173</v>
      </c>
      <c r="S28" s="14" t="str">
        <f t="shared" ref="S28:S31" si="2">IF(R28&lt;(M28+M28*10%),"Refill","Stock Available")</f>
        <v>Refill</v>
      </c>
    </row>
    <row r="29" spans="2:19" x14ac:dyDescent="0.3">
      <c r="B29" s="6" t="s">
        <v>49</v>
      </c>
      <c r="C29" s="6" t="s">
        <v>46</v>
      </c>
      <c r="D29" s="6">
        <v>2059</v>
      </c>
      <c r="E29" s="15">
        <v>319.33333333333331</v>
      </c>
      <c r="F29" s="10">
        <v>47</v>
      </c>
      <c r="G29" s="10">
        <v>155</v>
      </c>
      <c r="H29" s="10">
        <v>44</v>
      </c>
      <c r="I29" s="10">
        <v>152</v>
      </c>
      <c r="J29" s="10">
        <v>24</v>
      </c>
      <c r="K29" s="10">
        <v>132</v>
      </c>
      <c r="L29" s="8">
        <v>17</v>
      </c>
      <c r="M29" s="8">
        <v>125</v>
      </c>
      <c r="N29" s="16" t="s">
        <v>47</v>
      </c>
      <c r="O29" s="13">
        <v>1</v>
      </c>
      <c r="P29" s="14">
        <v>98</v>
      </c>
      <c r="Q29" s="14">
        <v>200</v>
      </c>
      <c r="R29" s="14">
        <f t="shared" si="0"/>
        <v>298</v>
      </c>
      <c r="S29" s="14" t="str">
        <f t="shared" si="2"/>
        <v>Stock Available</v>
      </c>
    </row>
    <row r="30" spans="2:19" x14ac:dyDescent="0.3">
      <c r="B30" s="6" t="s">
        <v>50</v>
      </c>
      <c r="C30" s="6" t="s">
        <v>46</v>
      </c>
      <c r="D30" s="6">
        <v>5127</v>
      </c>
      <c r="E30" s="15">
        <v>871.33333333333337</v>
      </c>
      <c r="F30" s="8">
        <v>107</v>
      </c>
      <c r="G30" s="8">
        <v>402</v>
      </c>
      <c r="H30" s="10">
        <v>98</v>
      </c>
      <c r="I30" s="10">
        <v>393</v>
      </c>
      <c r="J30" s="10">
        <v>43</v>
      </c>
      <c r="K30" s="10">
        <v>338</v>
      </c>
      <c r="L30" s="10">
        <v>40</v>
      </c>
      <c r="M30" s="10">
        <v>335</v>
      </c>
      <c r="N30" s="16" t="s">
        <v>22</v>
      </c>
      <c r="O30" s="13">
        <v>1</v>
      </c>
      <c r="P30" s="14">
        <v>77</v>
      </c>
      <c r="Q30" s="14">
        <v>35</v>
      </c>
      <c r="R30" s="14">
        <f t="shared" si="0"/>
        <v>112</v>
      </c>
      <c r="S30" s="14" t="str">
        <f>IF(R30&lt;(G30+G30*10%),"Refill","Stock Available")</f>
        <v>Refill</v>
      </c>
    </row>
    <row r="31" spans="2:19" x14ac:dyDescent="0.3">
      <c r="B31" s="6" t="s">
        <v>51</v>
      </c>
      <c r="C31" s="6" t="s">
        <v>46</v>
      </c>
      <c r="D31" s="6">
        <v>1345</v>
      </c>
      <c r="E31" s="15">
        <v>200.33333333333334</v>
      </c>
      <c r="F31" s="10">
        <v>53</v>
      </c>
      <c r="G31" s="10">
        <v>121</v>
      </c>
      <c r="H31" s="10">
        <v>52</v>
      </c>
      <c r="I31" s="10">
        <v>120</v>
      </c>
      <c r="J31" s="10">
        <v>47</v>
      </c>
      <c r="K31" s="10">
        <v>115</v>
      </c>
      <c r="L31" s="8">
        <v>44</v>
      </c>
      <c r="M31" s="8">
        <v>112</v>
      </c>
      <c r="N31" s="16" t="s">
        <v>47</v>
      </c>
      <c r="O31" s="13">
        <v>1</v>
      </c>
      <c r="P31" s="14">
        <v>66</v>
      </c>
      <c r="Q31" s="14">
        <v>55</v>
      </c>
      <c r="R31" s="14">
        <f t="shared" si="0"/>
        <v>121</v>
      </c>
      <c r="S31" s="14" t="str">
        <f t="shared" si="2"/>
        <v>Refill</v>
      </c>
    </row>
    <row r="32" spans="2:19" x14ac:dyDescent="0.3">
      <c r="B32" s="6" t="s">
        <v>52</v>
      </c>
      <c r="C32" s="6" t="s">
        <v>53</v>
      </c>
      <c r="D32" s="6">
        <v>300</v>
      </c>
      <c r="E32" s="15">
        <v>52.666666666666664</v>
      </c>
      <c r="F32" s="8">
        <v>11</v>
      </c>
      <c r="G32" s="8">
        <v>29</v>
      </c>
      <c r="H32" s="17">
        <v>10</v>
      </c>
      <c r="I32" s="10">
        <v>28</v>
      </c>
      <c r="J32" s="17">
        <v>3</v>
      </c>
      <c r="K32" s="10">
        <v>21</v>
      </c>
      <c r="L32" s="17">
        <v>13</v>
      </c>
      <c r="M32" s="10">
        <v>31</v>
      </c>
      <c r="N32" s="14" t="s">
        <v>22</v>
      </c>
      <c r="O32" s="13">
        <v>1</v>
      </c>
      <c r="P32" s="14">
        <v>200</v>
      </c>
      <c r="Q32" s="14">
        <v>44</v>
      </c>
      <c r="R32" s="14">
        <f t="shared" si="0"/>
        <v>244</v>
      </c>
      <c r="S32" s="14" t="str">
        <f>IF(R32&lt;(G32+G32*10%),"Refill","Stock Available")</f>
        <v>Stock Available</v>
      </c>
    </row>
    <row r="33" spans="2:19" x14ac:dyDescent="0.3">
      <c r="B33" s="6" t="s">
        <v>54</v>
      </c>
      <c r="C33" s="6" t="s">
        <v>53</v>
      </c>
      <c r="D33" s="6">
        <v>2811</v>
      </c>
      <c r="E33" s="15">
        <v>503.33333333333331</v>
      </c>
      <c r="F33" s="8">
        <v>80</v>
      </c>
      <c r="G33" s="8">
        <v>250</v>
      </c>
      <c r="H33" s="17">
        <v>76</v>
      </c>
      <c r="I33" s="10">
        <v>246</v>
      </c>
      <c r="J33" s="17">
        <v>26</v>
      </c>
      <c r="K33" s="10">
        <v>196</v>
      </c>
      <c r="L33" s="17">
        <v>102</v>
      </c>
      <c r="M33" s="10">
        <v>272</v>
      </c>
      <c r="N33" s="14" t="s">
        <v>22</v>
      </c>
      <c r="O33" s="13">
        <v>1</v>
      </c>
      <c r="P33" s="14">
        <v>256</v>
      </c>
      <c r="Q33" s="14">
        <v>66</v>
      </c>
      <c r="R33" s="14">
        <f t="shared" si="0"/>
        <v>322</v>
      </c>
      <c r="S33" s="14" t="str">
        <f t="shared" ref="S33:S40" si="3">IF(R33&lt;(G33+G33*10%),"Refill","Stock Available")</f>
        <v>Stock Available</v>
      </c>
    </row>
    <row r="34" spans="2:19" x14ac:dyDescent="0.3">
      <c r="B34" s="6" t="s">
        <v>55</v>
      </c>
      <c r="C34" s="6" t="s">
        <v>53</v>
      </c>
      <c r="D34" s="6">
        <v>890</v>
      </c>
      <c r="E34" s="15">
        <v>178.66666666666666</v>
      </c>
      <c r="F34" s="8">
        <v>78</v>
      </c>
      <c r="G34" s="8">
        <v>138</v>
      </c>
      <c r="H34" s="17">
        <v>78</v>
      </c>
      <c r="I34" s="10">
        <v>138</v>
      </c>
      <c r="J34" s="17">
        <v>9</v>
      </c>
      <c r="K34" s="10">
        <v>69</v>
      </c>
      <c r="L34" s="17">
        <v>87</v>
      </c>
      <c r="M34" s="10">
        <v>147</v>
      </c>
      <c r="N34" s="14" t="s">
        <v>22</v>
      </c>
      <c r="O34" s="13">
        <v>1</v>
      </c>
      <c r="P34" s="14">
        <v>45</v>
      </c>
      <c r="Q34" s="14">
        <v>21</v>
      </c>
      <c r="R34" s="14">
        <f t="shared" si="0"/>
        <v>66</v>
      </c>
      <c r="S34" s="14" t="str">
        <f t="shared" si="3"/>
        <v>Refill</v>
      </c>
    </row>
    <row r="35" spans="2:19" x14ac:dyDescent="0.3">
      <c r="B35" s="6" t="s">
        <v>56</v>
      </c>
      <c r="C35" s="6" t="s">
        <v>53</v>
      </c>
      <c r="D35" s="6">
        <v>1833</v>
      </c>
      <c r="E35" s="15">
        <v>308.33333333333331</v>
      </c>
      <c r="F35" s="8">
        <v>24</v>
      </c>
      <c r="G35" s="8">
        <v>128</v>
      </c>
      <c r="H35" s="17">
        <v>19</v>
      </c>
      <c r="I35" s="10">
        <v>123</v>
      </c>
      <c r="J35" s="17">
        <v>16</v>
      </c>
      <c r="K35" s="10">
        <v>120</v>
      </c>
      <c r="L35" s="17">
        <v>34</v>
      </c>
      <c r="M35" s="10">
        <v>138</v>
      </c>
      <c r="N35" s="14" t="s">
        <v>22</v>
      </c>
      <c r="O35" s="13">
        <v>1</v>
      </c>
      <c r="P35" s="14">
        <v>47</v>
      </c>
      <c r="Q35" s="14">
        <v>66</v>
      </c>
      <c r="R35" s="14">
        <f t="shared" si="0"/>
        <v>113</v>
      </c>
      <c r="S35" s="14" t="str">
        <f t="shared" si="3"/>
        <v>Refill</v>
      </c>
    </row>
    <row r="36" spans="2:19" x14ac:dyDescent="0.3">
      <c r="B36" s="6" t="s">
        <v>57</v>
      </c>
      <c r="C36" s="6" t="s">
        <v>53</v>
      </c>
      <c r="D36" s="6">
        <v>2048</v>
      </c>
      <c r="E36" s="15">
        <v>300.33333333333331</v>
      </c>
      <c r="F36" s="8">
        <v>40</v>
      </c>
      <c r="G36" s="8">
        <v>142</v>
      </c>
      <c r="H36" s="17">
        <v>37</v>
      </c>
      <c r="I36" s="10">
        <v>139</v>
      </c>
      <c r="J36" s="17">
        <v>15</v>
      </c>
      <c r="K36" s="10">
        <v>117</v>
      </c>
      <c r="L36" s="17">
        <v>52</v>
      </c>
      <c r="M36" s="10">
        <v>154</v>
      </c>
      <c r="N36" s="14" t="s">
        <v>22</v>
      </c>
      <c r="O36" s="13">
        <v>1</v>
      </c>
      <c r="P36" s="14">
        <v>67</v>
      </c>
      <c r="Q36" s="14">
        <v>88</v>
      </c>
      <c r="R36" s="14">
        <f t="shared" si="0"/>
        <v>155</v>
      </c>
      <c r="S36" s="14" t="str">
        <f t="shared" si="3"/>
        <v>Refill</v>
      </c>
    </row>
    <row r="37" spans="2:19" x14ac:dyDescent="0.3">
      <c r="B37" s="6" t="s">
        <v>58</v>
      </c>
      <c r="C37" s="6" t="s">
        <v>53</v>
      </c>
      <c r="D37" s="6">
        <v>1176</v>
      </c>
      <c r="E37" s="15">
        <v>160.66666666666666</v>
      </c>
      <c r="F37" s="8">
        <v>18</v>
      </c>
      <c r="G37" s="8">
        <v>72</v>
      </c>
      <c r="H37" s="17">
        <v>16</v>
      </c>
      <c r="I37" s="10">
        <v>70</v>
      </c>
      <c r="J37" s="17">
        <v>8</v>
      </c>
      <c r="K37" s="10">
        <v>62</v>
      </c>
      <c r="L37" s="17">
        <v>24</v>
      </c>
      <c r="M37" s="10">
        <v>78</v>
      </c>
      <c r="N37" s="14" t="s">
        <v>22</v>
      </c>
      <c r="O37" s="13">
        <v>1</v>
      </c>
      <c r="P37" s="14">
        <v>36</v>
      </c>
      <c r="Q37" s="14">
        <v>67</v>
      </c>
      <c r="R37" s="14">
        <f t="shared" si="0"/>
        <v>103</v>
      </c>
      <c r="S37" s="14" t="str">
        <f t="shared" si="3"/>
        <v>Stock Available</v>
      </c>
    </row>
    <row r="38" spans="2:19" x14ac:dyDescent="0.3">
      <c r="B38" s="6" t="s">
        <v>59</v>
      </c>
      <c r="C38" s="6" t="s">
        <v>53</v>
      </c>
      <c r="D38" s="6">
        <v>2533</v>
      </c>
      <c r="E38" s="15">
        <v>425.66666666666669</v>
      </c>
      <c r="F38" s="8">
        <v>59</v>
      </c>
      <c r="G38" s="8">
        <v>203</v>
      </c>
      <c r="H38" s="17">
        <v>55</v>
      </c>
      <c r="I38" s="10">
        <v>199</v>
      </c>
      <c r="J38" s="17">
        <v>22</v>
      </c>
      <c r="K38" s="10">
        <v>166</v>
      </c>
      <c r="L38" s="17">
        <v>77</v>
      </c>
      <c r="M38" s="10">
        <v>221</v>
      </c>
      <c r="N38" s="14" t="s">
        <v>22</v>
      </c>
      <c r="O38" s="13">
        <v>1</v>
      </c>
      <c r="P38" s="14">
        <v>90</v>
      </c>
      <c r="Q38" s="14">
        <v>43</v>
      </c>
      <c r="R38" s="14">
        <f t="shared" si="0"/>
        <v>133</v>
      </c>
      <c r="S38" s="14" t="str">
        <f t="shared" si="3"/>
        <v>Refill</v>
      </c>
    </row>
    <row r="39" spans="2:19" x14ac:dyDescent="0.3">
      <c r="B39" s="6" t="s">
        <v>60</v>
      </c>
      <c r="C39" s="6" t="s">
        <v>53</v>
      </c>
      <c r="D39" s="6">
        <v>3222</v>
      </c>
      <c r="E39" s="15">
        <v>554.66666666666663</v>
      </c>
      <c r="F39" s="8">
        <v>59</v>
      </c>
      <c r="G39" s="8">
        <v>247</v>
      </c>
      <c r="H39" s="17">
        <v>51</v>
      </c>
      <c r="I39" s="10">
        <v>239</v>
      </c>
      <c r="J39" s="17">
        <v>28</v>
      </c>
      <c r="K39" s="10">
        <v>216</v>
      </c>
      <c r="L39" s="17">
        <v>80</v>
      </c>
      <c r="M39" s="10">
        <v>268</v>
      </c>
      <c r="N39" s="14" t="s">
        <v>22</v>
      </c>
      <c r="O39" s="13">
        <v>1</v>
      </c>
      <c r="P39" s="14">
        <v>99</v>
      </c>
      <c r="Q39" s="14">
        <v>22</v>
      </c>
      <c r="R39" s="14">
        <f t="shared" si="0"/>
        <v>121</v>
      </c>
      <c r="S39" s="14" t="str">
        <f t="shared" si="3"/>
        <v>Refill</v>
      </c>
    </row>
    <row r="40" spans="2:19" x14ac:dyDescent="0.3">
      <c r="B40" s="6" t="s">
        <v>61</v>
      </c>
      <c r="C40" s="6" t="s">
        <v>53</v>
      </c>
      <c r="D40" s="6">
        <v>2041</v>
      </c>
      <c r="E40" s="15">
        <v>332.33333333333331</v>
      </c>
      <c r="F40" s="8">
        <v>53</v>
      </c>
      <c r="G40" s="8">
        <v>165</v>
      </c>
      <c r="H40" s="17">
        <v>50</v>
      </c>
      <c r="I40" s="10">
        <v>162</v>
      </c>
      <c r="J40" s="17">
        <v>17</v>
      </c>
      <c r="K40" s="10">
        <v>129</v>
      </c>
      <c r="L40" s="17">
        <v>67</v>
      </c>
      <c r="M40" s="10">
        <v>179</v>
      </c>
      <c r="N40" s="14" t="s">
        <v>22</v>
      </c>
      <c r="O40" s="13">
        <v>1</v>
      </c>
      <c r="P40" s="14">
        <v>300</v>
      </c>
      <c r="Q40" s="14">
        <v>48</v>
      </c>
      <c r="R40" s="14">
        <f t="shared" si="0"/>
        <v>348</v>
      </c>
      <c r="S40" s="14" t="str">
        <f t="shared" si="3"/>
        <v>Stock Available</v>
      </c>
    </row>
    <row r="41" spans="2:19" x14ac:dyDescent="0.3">
      <c r="B41" s="6" t="s">
        <v>62</v>
      </c>
      <c r="C41" s="6" t="s">
        <v>63</v>
      </c>
      <c r="D41" s="6">
        <v>1328</v>
      </c>
      <c r="E41" s="15">
        <v>215.66666666666666</v>
      </c>
      <c r="F41" s="8">
        <v>29</v>
      </c>
      <c r="G41" s="8">
        <v>102</v>
      </c>
      <c r="H41" s="17">
        <v>27</v>
      </c>
      <c r="I41" s="10">
        <v>100</v>
      </c>
      <c r="J41" s="17">
        <v>11</v>
      </c>
      <c r="K41" s="10">
        <v>84</v>
      </c>
      <c r="L41" s="17">
        <v>38</v>
      </c>
      <c r="M41" s="10">
        <v>111</v>
      </c>
      <c r="N41" s="14" t="s">
        <v>22</v>
      </c>
      <c r="O41" s="13">
        <v>1</v>
      </c>
      <c r="P41" s="14">
        <v>150</v>
      </c>
      <c r="Q41" s="14">
        <v>50</v>
      </c>
      <c r="R41" s="14">
        <f t="shared" si="0"/>
        <v>200</v>
      </c>
      <c r="S41" s="14" t="str">
        <f>IF(R41&lt;(G41+G41*10%),"Refill","Stock Available")</f>
        <v>Stock Available</v>
      </c>
    </row>
    <row r="42" spans="2:19" x14ac:dyDescent="0.3">
      <c r="B42" s="6" t="s">
        <v>64</v>
      </c>
      <c r="C42" s="6" t="s">
        <v>63</v>
      </c>
      <c r="D42" s="6">
        <v>1258</v>
      </c>
      <c r="E42" s="15">
        <v>232.33333333333334</v>
      </c>
      <c r="F42" s="8">
        <v>55</v>
      </c>
      <c r="G42" s="8">
        <v>134</v>
      </c>
      <c r="H42" s="17">
        <v>53</v>
      </c>
      <c r="I42" s="10">
        <v>132</v>
      </c>
      <c r="J42" s="17">
        <v>12</v>
      </c>
      <c r="K42" s="10">
        <v>91</v>
      </c>
      <c r="L42" s="17">
        <v>65</v>
      </c>
      <c r="M42" s="10">
        <v>144</v>
      </c>
      <c r="N42" s="14" t="s">
        <v>22</v>
      </c>
      <c r="O42" s="13">
        <v>1</v>
      </c>
      <c r="P42" s="14">
        <v>107</v>
      </c>
      <c r="Q42" s="14">
        <v>33</v>
      </c>
      <c r="R42" s="14">
        <f t="shared" si="0"/>
        <v>140</v>
      </c>
      <c r="S42" s="14" t="str">
        <f t="shared" ref="S42:S46" si="4">IF(R42&lt;(G42+G42*10%),"Refill","Stock Available")</f>
        <v>Refill</v>
      </c>
    </row>
    <row r="43" spans="2:19" x14ac:dyDescent="0.3">
      <c r="B43" s="6" t="s">
        <v>65</v>
      </c>
      <c r="C43" s="6" t="s">
        <v>63</v>
      </c>
      <c r="D43" s="6">
        <v>2329</v>
      </c>
      <c r="E43" s="15">
        <v>378.33333333333331</v>
      </c>
      <c r="F43" s="8">
        <v>22</v>
      </c>
      <c r="G43" s="8">
        <v>150</v>
      </c>
      <c r="H43" s="17">
        <v>11</v>
      </c>
      <c r="I43" s="10">
        <v>139</v>
      </c>
      <c r="J43" s="17">
        <v>19</v>
      </c>
      <c r="K43" s="10">
        <v>147</v>
      </c>
      <c r="L43" s="17">
        <v>31</v>
      </c>
      <c r="M43" s="10">
        <v>159</v>
      </c>
      <c r="N43" s="14" t="s">
        <v>22</v>
      </c>
      <c r="O43" s="13">
        <v>1</v>
      </c>
      <c r="P43" s="14">
        <v>88</v>
      </c>
      <c r="Q43" s="14">
        <v>89</v>
      </c>
      <c r="R43" s="14">
        <f t="shared" si="0"/>
        <v>177</v>
      </c>
      <c r="S43" s="14" t="str">
        <f t="shared" si="4"/>
        <v>Stock Available</v>
      </c>
    </row>
    <row r="44" spans="2:19" x14ac:dyDescent="0.3">
      <c r="B44" s="6" t="s">
        <v>66</v>
      </c>
      <c r="C44" s="6" t="s">
        <v>63</v>
      </c>
      <c r="D44" s="6">
        <v>1165</v>
      </c>
      <c r="E44" s="15">
        <v>198.33333333333334</v>
      </c>
      <c r="F44" s="8">
        <v>36</v>
      </c>
      <c r="G44" s="8">
        <v>103</v>
      </c>
      <c r="H44" s="17">
        <v>35</v>
      </c>
      <c r="I44" s="10">
        <v>102</v>
      </c>
      <c r="J44" s="17">
        <v>10</v>
      </c>
      <c r="K44" s="10">
        <v>77</v>
      </c>
      <c r="L44" s="17">
        <v>45</v>
      </c>
      <c r="M44" s="10">
        <v>112</v>
      </c>
      <c r="N44" s="14" t="s">
        <v>22</v>
      </c>
      <c r="O44" s="13">
        <v>1</v>
      </c>
      <c r="P44" s="14">
        <v>205</v>
      </c>
      <c r="Q44" s="14">
        <v>28</v>
      </c>
      <c r="R44" s="14">
        <f t="shared" si="0"/>
        <v>233</v>
      </c>
      <c r="S44" s="14" t="str">
        <f t="shared" si="4"/>
        <v>Stock Available</v>
      </c>
    </row>
    <row r="45" spans="2:19" x14ac:dyDescent="0.3">
      <c r="B45" s="6" t="s">
        <v>67</v>
      </c>
      <c r="C45" s="6" t="s">
        <v>63</v>
      </c>
      <c r="D45" s="6">
        <v>1254</v>
      </c>
      <c r="E45" s="15">
        <v>203</v>
      </c>
      <c r="F45" s="8">
        <v>35</v>
      </c>
      <c r="G45" s="8">
        <v>104</v>
      </c>
      <c r="H45" s="17">
        <v>33</v>
      </c>
      <c r="I45" s="10">
        <v>102</v>
      </c>
      <c r="J45" s="17">
        <v>10</v>
      </c>
      <c r="K45" s="10">
        <v>79</v>
      </c>
      <c r="L45" s="17">
        <v>44</v>
      </c>
      <c r="M45" s="10">
        <v>113</v>
      </c>
      <c r="N45" s="14" t="s">
        <v>22</v>
      </c>
      <c r="O45" s="13">
        <v>1</v>
      </c>
      <c r="P45" s="14">
        <v>33</v>
      </c>
      <c r="Q45" s="14">
        <v>99</v>
      </c>
      <c r="R45" s="14">
        <f t="shared" si="0"/>
        <v>132</v>
      </c>
      <c r="S45" s="14" t="str">
        <f t="shared" si="4"/>
        <v>Stock Available</v>
      </c>
    </row>
    <row r="46" spans="2:19" x14ac:dyDescent="0.3">
      <c r="B46" s="6" t="s">
        <v>68</v>
      </c>
      <c r="C46" s="6" t="s">
        <v>63</v>
      </c>
      <c r="D46" s="6">
        <v>1228</v>
      </c>
      <c r="E46" s="15">
        <v>281.33333333333331</v>
      </c>
      <c r="F46" s="8">
        <v>65</v>
      </c>
      <c r="G46" s="8">
        <v>160</v>
      </c>
      <c r="H46" s="17">
        <v>63</v>
      </c>
      <c r="I46" s="10">
        <v>158</v>
      </c>
      <c r="J46" s="17">
        <v>14</v>
      </c>
      <c r="K46" s="10">
        <v>109</v>
      </c>
      <c r="L46" s="17">
        <v>77</v>
      </c>
      <c r="M46" s="10">
        <v>172</v>
      </c>
      <c r="N46" s="14" t="s">
        <v>22</v>
      </c>
      <c r="O46" s="13">
        <v>1</v>
      </c>
      <c r="P46" s="14">
        <v>79</v>
      </c>
      <c r="Q46" s="14">
        <v>76</v>
      </c>
      <c r="R46" s="14">
        <f t="shared" si="0"/>
        <v>155</v>
      </c>
      <c r="S46" s="14" t="str">
        <f t="shared" si="4"/>
        <v>Refill</v>
      </c>
    </row>
    <row r="47" spans="2:19" x14ac:dyDescent="0.3">
      <c r="B47" s="6" t="s">
        <v>69</v>
      </c>
      <c r="C47" s="6" t="s">
        <v>70</v>
      </c>
      <c r="D47" s="6">
        <v>16390</v>
      </c>
      <c r="E47" s="15">
        <v>2646.3333333333335</v>
      </c>
      <c r="F47" s="8">
        <v>185</v>
      </c>
      <c r="G47" s="8">
        <v>1081</v>
      </c>
      <c r="H47" s="10">
        <v>127</v>
      </c>
      <c r="I47" s="10">
        <v>1023</v>
      </c>
      <c r="J47" s="17">
        <v>135</v>
      </c>
      <c r="K47" s="10">
        <v>1031</v>
      </c>
      <c r="L47" s="17">
        <v>262</v>
      </c>
      <c r="M47" s="10">
        <v>1158</v>
      </c>
      <c r="N47" s="14" t="s">
        <v>22</v>
      </c>
      <c r="O47" s="18">
        <v>0.9</v>
      </c>
      <c r="P47" s="19">
        <v>49</v>
      </c>
      <c r="Q47" s="19">
        <v>55</v>
      </c>
      <c r="R47" s="14">
        <f t="shared" si="0"/>
        <v>104</v>
      </c>
      <c r="S47" s="19" t="str">
        <f>IF(R47&lt;(G47+G47*10%),"Refill","Stock Available")</f>
        <v>Refill</v>
      </c>
    </row>
    <row r="48" spans="2:19" x14ac:dyDescent="0.3">
      <c r="B48" s="6" t="s">
        <v>71</v>
      </c>
      <c r="C48" s="6" t="s">
        <v>70</v>
      </c>
      <c r="D48" s="6">
        <v>14140</v>
      </c>
      <c r="E48" s="15">
        <v>2298.3333333333335</v>
      </c>
      <c r="F48" s="8">
        <v>221</v>
      </c>
      <c r="G48" s="8">
        <v>999</v>
      </c>
      <c r="H48" s="10">
        <v>187</v>
      </c>
      <c r="I48" s="10">
        <v>965</v>
      </c>
      <c r="J48" s="17">
        <v>117</v>
      </c>
      <c r="K48" s="10">
        <v>895</v>
      </c>
      <c r="L48" s="17">
        <v>304</v>
      </c>
      <c r="M48" s="10">
        <v>1082</v>
      </c>
      <c r="N48" s="14" t="s">
        <v>22</v>
      </c>
      <c r="O48" s="18">
        <v>0.9</v>
      </c>
      <c r="P48" s="19">
        <v>63</v>
      </c>
      <c r="Q48" s="19">
        <v>65</v>
      </c>
      <c r="R48" s="14">
        <f t="shared" si="0"/>
        <v>128</v>
      </c>
      <c r="S48" s="19" t="str">
        <f t="shared" ref="S48:S82" si="5">IF(R48&lt;(G48+G48*10%),"Refill","Stock Available")</f>
        <v>Refill</v>
      </c>
    </row>
    <row r="49" spans="2:19" x14ac:dyDescent="0.3">
      <c r="B49" s="6" t="s">
        <v>72</v>
      </c>
      <c r="C49" s="6" t="s">
        <v>70</v>
      </c>
      <c r="D49" s="6">
        <v>10910</v>
      </c>
      <c r="E49" s="15">
        <v>1732.3333333333333</v>
      </c>
      <c r="F49" s="8">
        <v>260</v>
      </c>
      <c r="G49" s="8">
        <v>846</v>
      </c>
      <c r="H49" s="10">
        <v>245</v>
      </c>
      <c r="I49" s="10">
        <v>831</v>
      </c>
      <c r="J49" s="17">
        <v>88</v>
      </c>
      <c r="K49" s="10">
        <v>674</v>
      </c>
      <c r="L49" s="17">
        <v>333</v>
      </c>
      <c r="M49" s="10">
        <v>919</v>
      </c>
      <c r="N49" s="14" t="s">
        <v>22</v>
      </c>
      <c r="O49" s="18">
        <v>0.95</v>
      </c>
      <c r="P49" s="19">
        <v>88</v>
      </c>
      <c r="Q49" s="19">
        <v>88</v>
      </c>
      <c r="R49" s="14">
        <f t="shared" si="0"/>
        <v>176</v>
      </c>
      <c r="S49" s="19" t="str">
        <f t="shared" si="5"/>
        <v>Refill</v>
      </c>
    </row>
    <row r="50" spans="2:19" x14ac:dyDescent="0.3">
      <c r="B50" s="6" t="s">
        <v>73</v>
      </c>
      <c r="C50" s="6" t="s">
        <v>70</v>
      </c>
      <c r="D50" s="6">
        <v>8008</v>
      </c>
      <c r="E50" s="15">
        <v>1257.6666666666667</v>
      </c>
      <c r="F50" s="8">
        <v>173</v>
      </c>
      <c r="G50" s="8">
        <v>599</v>
      </c>
      <c r="H50" s="10">
        <v>160</v>
      </c>
      <c r="I50" s="10">
        <v>586</v>
      </c>
      <c r="J50" s="17">
        <v>64</v>
      </c>
      <c r="K50" s="10">
        <v>490</v>
      </c>
      <c r="L50" s="17">
        <v>224</v>
      </c>
      <c r="M50" s="10">
        <v>650</v>
      </c>
      <c r="N50" s="14" t="s">
        <v>22</v>
      </c>
      <c r="O50" s="18">
        <v>1</v>
      </c>
      <c r="P50" s="19">
        <v>75</v>
      </c>
      <c r="Q50" s="19">
        <v>100</v>
      </c>
      <c r="R50" s="14">
        <f t="shared" si="0"/>
        <v>175</v>
      </c>
      <c r="S50" s="19" t="str">
        <f t="shared" si="5"/>
        <v>Refill</v>
      </c>
    </row>
    <row r="51" spans="2:19" x14ac:dyDescent="0.3">
      <c r="B51" s="6" t="s">
        <v>74</v>
      </c>
      <c r="C51" s="6" t="s">
        <v>70</v>
      </c>
      <c r="D51" s="6">
        <v>7431</v>
      </c>
      <c r="E51" s="15">
        <v>1074.3333333333333</v>
      </c>
      <c r="F51" s="8">
        <v>336</v>
      </c>
      <c r="G51" s="8">
        <v>700</v>
      </c>
      <c r="H51" s="10">
        <v>331</v>
      </c>
      <c r="I51" s="10">
        <v>695</v>
      </c>
      <c r="J51" s="17">
        <v>55</v>
      </c>
      <c r="K51" s="10">
        <v>419</v>
      </c>
      <c r="L51" s="17">
        <v>386</v>
      </c>
      <c r="M51" s="10">
        <v>750</v>
      </c>
      <c r="N51" s="14" t="s">
        <v>22</v>
      </c>
      <c r="O51" s="18">
        <v>1</v>
      </c>
      <c r="P51" s="19">
        <v>65</v>
      </c>
      <c r="Q51" s="19">
        <v>43</v>
      </c>
      <c r="R51" s="14">
        <f t="shared" si="0"/>
        <v>108</v>
      </c>
      <c r="S51" s="19" t="str">
        <f t="shared" si="5"/>
        <v>Refill</v>
      </c>
    </row>
    <row r="52" spans="2:19" x14ac:dyDescent="0.3">
      <c r="B52" s="6" t="s">
        <v>75</v>
      </c>
      <c r="C52" s="6" t="s">
        <v>70</v>
      </c>
      <c r="D52" s="6">
        <v>6267</v>
      </c>
      <c r="E52" s="15">
        <v>1034</v>
      </c>
      <c r="F52" s="8">
        <v>113</v>
      </c>
      <c r="G52" s="8">
        <v>463</v>
      </c>
      <c r="H52" s="10">
        <v>100</v>
      </c>
      <c r="I52" s="10">
        <v>450</v>
      </c>
      <c r="J52" s="17">
        <v>53</v>
      </c>
      <c r="K52" s="10">
        <v>403</v>
      </c>
      <c r="L52" s="17">
        <v>153</v>
      </c>
      <c r="M52" s="10">
        <v>503</v>
      </c>
      <c r="N52" s="14" t="s">
        <v>22</v>
      </c>
      <c r="O52" s="18">
        <v>1</v>
      </c>
      <c r="P52" s="19">
        <v>43</v>
      </c>
      <c r="Q52" s="19">
        <v>150</v>
      </c>
      <c r="R52" s="14">
        <f t="shared" si="0"/>
        <v>193</v>
      </c>
      <c r="S52" s="19" t="str">
        <f t="shared" si="5"/>
        <v>Refill</v>
      </c>
    </row>
    <row r="53" spans="2:19" x14ac:dyDescent="0.3">
      <c r="B53" s="6" t="s">
        <v>76</v>
      </c>
      <c r="C53" s="6" t="s">
        <v>70</v>
      </c>
      <c r="D53" s="6">
        <v>5599</v>
      </c>
      <c r="E53" s="15">
        <v>877.33333333333337</v>
      </c>
      <c r="F53" s="8">
        <v>174</v>
      </c>
      <c r="G53" s="8">
        <v>471</v>
      </c>
      <c r="H53" s="10">
        <v>168</v>
      </c>
      <c r="I53" s="10">
        <v>465</v>
      </c>
      <c r="J53" s="17">
        <v>45</v>
      </c>
      <c r="K53" s="10">
        <v>342</v>
      </c>
      <c r="L53" s="17">
        <v>213</v>
      </c>
      <c r="M53" s="10">
        <v>510</v>
      </c>
      <c r="N53" s="14" t="s">
        <v>22</v>
      </c>
      <c r="O53" s="18">
        <v>1</v>
      </c>
      <c r="P53" s="19">
        <v>23</v>
      </c>
      <c r="Q53" s="19">
        <v>400</v>
      </c>
      <c r="R53" s="14">
        <f t="shared" si="0"/>
        <v>423</v>
      </c>
      <c r="S53" s="19" t="str">
        <f t="shared" si="5"/>
        <v>Refill</v>
      </c>
    </row>
    <row r="54" spans="2:19" x14ac:dyDescent="0.3">
      <c r="B54" s="6" t="s">
        <v>77</v>
      </c>
      <c r="C54" s="6" t="s">
        <v>70</v>
      </c>
      <c r="D54" s="6">
        <v>5067</v>
      </c>
      <c r="E54" s="15">
        <v>749.66666666666663</v>
      </c>
      <c r="F54" s="8">
        <v>176</v>
      </c>
      <c r="G54" s="8">
        <v>430</v>
      </c>
      <c r="H54" s="10">
        <v>172</v>
      </c>
      <c r="I54" s="10">
        <v>426</v>
      </c>
      <c r="J54" s="17">
        <v>38</v>
      </c>
      <c r="K54" s="10">
        <v>292</v>
      </c>
      <c r="L54" s="17">
        <v>210</v>
      </c>
      <c r="M54" s="10">
        <v>464</v>
      </c>
      <c r="N54" s="14" t="s">
        <v>22</v>
      </c>
      <c r="O54" s="18">
        <v>1</v>
      </c>
      <c r="P54" s="19">
        <v>50</v>
      </c>
      <c r="Q54" s="19">
        <v>55</v>
      </c>
      <c r="R54" s="14">
        <f t="shared" si="0"/>
        <v>105</v>
      </c>
      <c r="S54" s="19" t="str">
        <f t="shared" si="5"/>
        <v>Refill</v>
      </c>
    </row>
    <row r="55" spans="2:19" x14ac:dyDescent="0.3">
      <c r="B55" s="6" t="s">
        <v>78</v>
      </c>
      <c r="C55" s="6" t="s">
        <v>70</v>
      </c>
      <c r="D55" s="6">
        <v>3679</v>
      </c>
      <c r="E55" s="15">
        <v>560</v>
      </c>
      <c r="F55" s="8">
        <v>176</v>
      </c>
      <c r="G55" s="8">
        <v>366</v>
      </c>
      <c r="H55" s="10">
        <v>174</v>
      </c>
      <c r="I55" s="10">
        <v>364</v>
      </c>
      <c r="J55" s="17">
        <v>29</v>
      </c>
      <c r="K55" s="10">
        <v>219</v>
      </c>
      <c r="L55" s="17">
        <v>202</v>
      </c>
      <c r="M55" s="10">
        <v>392</v>
      </c>
      <c r="N55" s="14" t="s">
        <v>22</v>
      </c>
      <c r="O55" s="18">
        <v>1</v>
      </c>
      <c r="P55" s="19">
        <v>48</v>
      </c>
      <c r="Q55" s="19">
        <v>36</v>
      </c>
      <c r="R55" s="14">
        <f t="shared" si="0"/>
        <v>84</v>
      </c>
      <c r="S55" s="19" t="str">
        <f t="shared" si="5"/>
        <v>Refill</v>
      </c>
    </row>
    <row r="56" spans="2:19" x14ac:dyDescent="0.3">
      <c r="B56" s="6" t="s">
        <v>79</v>
      </c>
      <c r="C56" s="6" t="s">
        <v>70</v>
      </c>
      <c r="D56" s="6">
        <v>3073</v>
      </c>
      <c r="E56" s="15">
        <v>512.66666666666663</v>
      </c>
      <c r="F56" s="8">
        <v>56</v>
      </c>
      <c r="G56" s="8">
        <v>230</v>
      </c>
      <c r="H56" s="10">
        <v>49</v>
      </c>
      <c r="I56" s="10">
        <v>223</v>
      </c>
      <c r="J56" s="17">
        <v>26</v>
      </c>
      <c r="K56" s="10">
        <v>200</v>
      </c>
      <c r="L56" s="17">
        <v>75</v>
      </c>
      <c r="M56" s="10">
        <v>249</v>
      </c>
      <c r="N56" s="14" t="s">
        <v>22</v>
      </c>
      <c r="O56" s="18">
        <v>1</v>
      </c>
      <c r="P56" s="19">
        <v>35</v>
      </c>
      <c r="Q56" s="19">
        <v>44</v>
      </c>
      <c r="R56" s="14">
        <f t="shared" si="0"/>
        <v>79</v>
      </c>
      <c r="S56" s="19" t="str">
        <f t="shared" si="5"/>
        <v>Refill</v>
      </c>
    </row>
    <row r="57" spans="2:19" x14ac:dyDescent="0.3">
      <c r="B57" s="6" t="s">
        <v>80</v>
      </c>
      <c r="C57" s="6" t="s">
        <v>70</v>
      </c>
      <c r="D57" s="6">
        <v>2875</v>
      </c>
      <c r="E57" s="15">
        <v>468</v>
      </c>
      <c r="F57" s="8">
        <v>26</v>
      </c>
      <c r="G57" s="8">
        <v>184</v>
      </c>
      <c r="H57" s="10">
        <v>10</v>
      </c>
      <c r="I57" s="10">
        <v>168</v>
      </c>
      <c r="J57" s="17">
        <v>24</v>
      </c>
      <c r="K57" s="10">
        <v>182</v>
      </c>
      <c r="L57" s="17">
        <v>34</v>
      </c>
      <c r="M57" s="10">
        <v>192</v>
      </c>
      <c r="N57" s="14" t="s">
        <v>22</v>
      </c>
      <c r="O57" s="18">
        <v>1</v>
      </c>
      <c r="P57" s="19">
        <v>12</v>
      </c>
      <c r="Q57" s="19">
        <v>22</v>
      </c>
      <c r="R57" s="14">
        <f t="shared" si="0"/>
        <v>34</v>
      </c>
      <c r="S57" s="19" t="str">
        <f t="shared" si="5"/>
        <v>Refill</v>
      </c>
    </row>
    <row r="58" spans="2:19" x14ac:dyDescent="0.3">
      <c r="B58" s="6" t="s">
        <v>81</v>
      </c>
      <c r="C58" s="6" t="s">
        <v>70</v>
      </c>
      <c r="D58" s="6">
        <v>2477</v>
      </c>
      <c r="E58" s="15">
        <v>409.33333333333331</v>
      </c>
      <c r="F58" s="8">
        <v>22</v>
      </c>
      <c r="G58" s="8">
        <v>161</v>
      </c>
      <c r="H58" s="10">
        <v>8</v>
      </c>
      <c r="I58" s="10">
        <v>147</v>
      </c>
      <c r="J58" s="17">
        <v>21</v>
      </c>
      <c r="K58" s="10">
        <v>160</v>
      </c>
      <c r="L58" s="17">
        <v>29</v>
      </c>
      <c r="M58" s="10">
        <v>168</v>
      </c>
      <c r="N58" s="14" t="s">
        <v>22</v>
      </c>
      <c r="O58" s="18">
        <v>1</v>
      </c>
      <c r="P58" s="19">
        <v>35</v>
      </c>
      <c r="Q58" s="19">
        <v>100</v>
      </c>
      <c r="R58" s="14">
        <f t="shared" si="0"/>
        <v>135</v>
      </c>
      <c r="S58" s="19" t="str">
        <f t="shared" si="5"/>
        <v>Refill</v>
      </c>
    </row>
    <row r="59" spans="2:19" x14ac:dyDescent="0.3">
      <c r="B59" s="6" t="s">
        <v>82</v>
      </c>
      <c r="C59" s="6" t="s">
        <v>70</v>
      </c>
      <c r="D59" s="6">
        <v>2433</v>
      </c>
      <c r="E59" s="15">
        <v>397</v>
      </c>
      <c r="F59" s="8">
        <v>77</v>
      </c>
      <c r="G59" s="8">
        <v>211</v>
      </c>
      <c r="H59" s="10">
        <v>75</v>
      </c>
      <c r="I59" s="10">
        <v>209</v>
      </c>
      <c r="J59" s="17">
        <v>20</v>
      </c>
      <c r="K59" s="10">
        <v>154</v>
      </c>
      <c r="L59" s="17">
        <v>95</v>
      </c>
      <c r="M59" s="10">
        <v>229</v>
      </c>
      <c r="N59" s="14" t="s">
        <v>22</v>
      </c>
      <c r="O59" s="18">
        <v>1</v>
      </c>
      <c r="P59" s="19">
        <v>120</v>
      </c>
      <c r="Q59" s="19">
        <v>1</v>
      </c>
      <c r="R59" s="14">
        <f t="shared" si="0"/>
        <v>121</v>
      </c>
      <c r="S59" s="19" t="str">
        <f t="shared" si="5"/>
        <v>Refill</v>
      </c>
    </row>
    <row r="60" spans="2:19" x14ac:dyDescent="0.3">
      <c r="B60" s="6" t="s">
        <v>83</v>
      </c>
      <c r="C60" s="6" t="s">
        <v>70</v>
      </c>
      <c r="D60" s="6">
        <v>1742</v>
      </c>
      <c r="E60" s="15">
        <v>283</v>
      </c>
      <c r="F60" s="8">
        <v>30</v>
      </c>
      <c r="G60" s="8">
        <v>126</v>
      </c>
      <c r="H60" s="10">
        <v>27</v>
      </c>
      <c r="I60" s="10">
        <v>123</v>
      </c>
      <c r="J60" s="17">
        <v>14</v>
      </c>
      <c r="K60" s="10">
        <v>110</v>
      </c>
      <c r="L60" s="17">
        <v>41</v>
      </c>
      <c r="M60" s="10">
        <v>137</v>
      </c>
      <c r="N60" s="14" t="s">
        <v>22</v>
      </c>
      <c r="O60" s="18">
        <v>1</v>
      </c>
      <c r="P60" s="19">
        <v>46</v>
      </c>
      <c r="Q60" s="19">
        <v>1</v>
      </c>
      <c r="R60" s="14">
        <f t="shared" si="0"/>
        <v>47</v>
      </c>
      <c r="S60" s="19" t="str">
        <f t="shared" si="5"/>
        <v>Refill</v>
      </c>
    </row>
    <row r="61" spans="2:19" x14ac:dyDescent="0.3">
      <c r="B61" s="6" t="s">
        <v>84</v>
      </c>
      <c r="C61" s="6" t="s">
        <v>70</v>
      </c>
      <c r="D61" s="6">
        <v>1677</v>
      </c>
      <c r="E61" s="15">
        <v>203</v>
      </c>
      <c r="F61" s="8">
        <v>30</v>
      </c>
      <c r="G61" s="8">
        <v>99</v>
      </c>
      <c r="H61" s="10">
        <v>29</v>
      </c>
      <c r="I61" s="10">
        <v>98</v>
      </c>
      <c r="J61" s="17">
        <v>10</v>
      </c>
      <c r="K61" s="10">
        <v>79</v>
      </c>
      <c r="L61" s="17">
        <v>39</v>
      </c>
      <c r="M61" s="10">
        <v>108</v>
      </c>
      <c r="N61" s="14" t="s">
        <v>22</v>
      </c>
      <c r="O61" s="18">
        <v>1</v>
      </c>
      <c r="P61" s="19">
        <v>40</v>
      </c>
      <c r="Q61" s="19">
        <v>23</v>
      </c>
      <c r="R61" s="14">
        <f t="shared" si="0"/>
        <v>63</v>
      </c>
      <c r="S61" s="19" t="str">
        <f t="shared" si="5"/>
        <v>Refill</v>
      </c>
    </row>
    <row r="62" spans="2:19" x14ac:dyDescent="0.3">
      <c r="B62" s="6" t="s">
        <v>85</v>
      </c>
      <c r="C62" s="6" t="s">
        <v>70</v>
      </c>
      <c r="D62" s="6">
        <v>1026</v>
      </c>
      <c r="E62" s="15">
        <v>191</v>
      </c>
      <c r="F62" s="8">
        <v>79</v>
      </c>
      <c r="G62" s="8">
        <v>144</v>
      </c>
      <c r="H62" s="10">
        <v>79</v>
      </c>
      <c r="I62" s="10">
        <v>144</v>
      </c>
      <c r="J62" s="17">
        <v>10</v>
      </c>
      <c r="K62" s="10">
        <v>75</v>
      </c>
      <c r="L62" s="17">
        <v>88</v>
      </c>
      <c r="M62" s="10">
        <v>153</v>
      </c>
      <c r="N62" s="14" t="s">
        <v>22</v>
      </c>
      <c r="O62" s="18">
        <v>1</v>
      </c>
      <c r="P62" s="19">
        <v>98</v>
      </c>
      <c r="Q62" s="19">
        <v>66</v>
      </c>
      <c r="R62" s="14">
        <f t="shared" si="0"/>
        <v>164</v>
      </c>
      <c r="S62" s="19" t="str">
        <f t="shared" si="5"/>
        <v>Stock Available</v>
      </c>
    </row>
    <row r="63" spans="2:19" x14ac:dyDescent="0.3">
      <c r="B63" s="6" t="s">
        <v>86</v>
      </c>
      <c r="C63" s="6" t="s">
        <v>70</v>
      </c>
      <c r="D63" s="6">
        <v>918</v>
      </c>
      <c r="E63" s="15">
        <v>150.66666666666666</v>
      </c>
      <c r="F63" s="8">
        <v>37</v>
      </c>
      <c r="G63" s="8">
        <v>88</v>
      </c>
      <c r="H63" s="10">
        <v>37</v>
      </c>
      <c r="I63" s="10">
        <v>88</v>
      </c>
      <c r="J63" s="17">
        <v>8</v>
      </c>
      <c r="K63" s="10">
        <v>59</v>
      </c>
      <c r="L63" s="17">
        <v>44</v>
      </c>
      <c r="M63" s="10">
        <v>95</v>
      </c>
      <c r="N63" s="14" t="s">
        <v>87</v>
      </c>
      <c r="O63" s="18">
        <v>1</v>
      </c>
      <c r="P63" s="19">
        <v>42</v>
      </c>
      <c r="Q63" s="19">
        <v>33</v>
      </c>
      <c r="R63" s="14">
        <f t="shared" si="0"/>
        <v>75</v>
      </c>
      <c r="S63" s="19" t="str">
        <f t="shared" si="5"/>
        <v>Refill</v>
      </c>
    </row>
    <row r="64" spans="2:19" x14ac:dyDescent="0.3">
      <c r="B64" s="6" t="s">
        <v>88</v>
      </c>
      <c r="C64" s="6" t="s">
        <v>70</v>
      </c>
      <c r="D64" s="6">
        <v>756</v>
      </c>
      <c r="E64" s="15">
        <v>143.33333333333334</v>
      </c>
      <c r="F64" s="8">
        <v>60</v>
      </c>
      <c r="G64" s="8">
        <v>109</v>
      </c>
      <c r="H64" s="10">
        <v>59</v>
      </c>
      <c r="I64" s="10">
        <v>108</v>
      </c>
      <c r="J64" s="17">
        <v>7</v>
      </c>
      <c r="K64" s="10">
        <v>56</v>
      </c>
      <c r="L64" s="17">
        <v>66</v>
      </c>
      <c r="M64" s="10">
        <v>115</v>
      </c>
      <c r="N64" s="14" t="s">
        <v>22</v>
      </c>
      <c r="O64" s="18">
        <v>1</v>
      </c>
      <c r="P64" s="19">
        <v>61</v>
      </c>
      <c r="Q64" s="19">
        <v>23</v>
      </c>
      <c r="R64" s="14">
        <f t="shared" si="0"/>
        <v>84</v>
      </c>
      <c r="S64" s="19" t="str">
        <f t="shared" si="5"/>
        <v>Refill</v>
      </c>
    </row>
    <row r="65" spans="2:19" x14ac:dyDescent="0.3">
      <c r="B65" s="6" t="s">
        <v>89</v>
      </c>
      <c r="C65" s="6" t="s">
        <v>70</v>
      </c>
      <c r="D65" s="6">
        <v>601</v>
      </c>
      <c r="E65" s="15">
        <v>127</v>
      </c>
      <c r="F65" s="8">
        <v>18</v>
      </c>
      <c r="G65" s="8">
        <v>61</v>
      </c>
      <c r="H65" s="10">
        <v>17</v>
      </c>
      <c r="I65" s="10">
        <v>60</v>
      </c>
      <c r="J65" s="17">
        <v>6</v>
      </c>
      <c r="K65" s="10">
        <v>49</v>
      </c>
      <c r="L65" s="17">
        <v>23</v>
      </c>
      <c r="M65" s="10">
        <v>66</v>
      </c>
      <c r="N65" s="14" t="s">
        <v>22</v>
      </c>
      <c r="O65" s="18">
        <v>1</v>
      </c>
      <c r="P65" s="19">
        <v>50</v>
      </c>
      <c r="Q65" s="19">
        <v>21</v>
      </c>
      <c r="R65" s="14">
        <f t="shared" si="0"/>
        <v>71</v>
      </c>
      <c r="S65" s="19" t="str">
        <f t="shared" si="5"/>
        <v>Stock Available</v>
      </c>
    </row>
    <row r="66" spans="2:19" x14ac:dyDescent="0.3">
      <c r="B66" s="6" t="s">
        <v>90</v>
      </c>
      <c r="C66" s="6" t="s">
        <v>70</v>
      </c>
      <c r="D66" s="6">
        <v>468</v>
      </c>
      <c r="E66" s="15">
        <v>124</v>
      </c>
      <c r="F66" s="8">
        <v>50</v>
      </c>
      <c r="G66" s="8">
        <v>92</v>
      </c>
      <c r="H66" s="10">
        <v>50</v>
      </c>
      <c r="I66" s="10">
        <v>92</v>
      </c>
      <c r="J66" s="17">
        <v>6</v>
      </c>
      <c r="K66" s="10">
        <v>48</v>
      </c>
      <c r="L66" s="17">
        <v>56</v>
      </c>
      <c r="M66" s="10">
        <v>98</v>
      </c>
      <c r="N66" s="14" t="s">
        <v>22</v>
      </c>
      <c r="O66" s="18">
        <v>1</v>
      </c>
      <c r="P66" s="19">
        <v>32</v>
      </c>
      <c r="Q66" s="19">
        <v>98</v>
      </c>
      <c r="R66" s="14">
        <f t="shared" si="0"/>
        <v>130</v>
      </c>
      <c r="S66" s="19" t="str">
        <f t="shared" si="5"/>
        <v>Stock Available</v>
      </c>
    </row>
    <row r="67" spans="2:19" x14ac:dyDescent="0.3">
      <c r="B67" s="6" t="s">
        <v>91</v>
      </c>
      <c r="C67" s="6" t="s">
        <v>70</v>
      </c>
      <c r="D67" s="6">
        <v>506</v>
      </c>
      <c r="E67" s="15">
        <v>121.33333333333333</v>
      </c>
      <c r="F67" s="8">
        <v>51</v>
      </c>
      <c r="G67" s="8">
        <v>92</v>
      </c>
      <c r="H67" s="10">
        <v>51</v>
      </c>
      <c r="I67" s="10">
        <v>92</v>
      </c>
      <c r="J67" s="17">
        <v>6</v>
      </c>
      <c r="K67" s="10">
        <v>47</v>
      </c>
      <c r="L67" s="17">
        <v>57</v>
      </c>
      <c r="M67" s="10">
        <v>98</v>
      </c>
      <c r="N67" s="14" t="s">
        <v>22</v>
      </c>
      <c r="O67" s="18">
        <v>1</v>
      </c>
      <c r="P67" s="19">
        <v>44</v>
      </c>
      <c r="Q67" s="19">
        <v>87</v>
      </c>
      <c r="R67" s="14">
        <f t="shared" si="0"/>
        <v>131</v>
      </c>
      <c r="S67" s="19" t="str">
        <f t="shared" si="5"/>
        <v>Stock Available</v>
      </c>
    </row>
    <row r="68" spans="2:19" x14ac:dyDescent="0.3">
      <c r="B68" s="6" t="s">
        <v>92</v>
      </c>
      <c r="C68" s="6" t="s">
        <v>70</v>
      </c>
      <c r="D68" s="6">
        <v>701</v>
      </c>
      <c r="E68" s="15">
        <v>120.33333333333333</v>
      </c>
      <c r="F68" s="8">
        <v>8</v>
      </c>
      <c r="G68" s="8">
        <v>49</v>
      </c>
      <c r="H68" s="10">
        <v>5</v>
      </c>
      <c r="I68" s="10">
        <v>46</v>
      </c>
      <c r="J68" s="17">
        <v>6</v>
      </c>
      <c r="K68" s="10">
        <v>47</v>
      </c>
      <c r="L68" s="17">
        <v>12</v>
      </c>
      <c r="M68" s="10">
        <v>53</v>
      </c>
      <c r="N68" s="14" t="s">
        <v>22</v>
      </c>
      <c r="O68" s="18">
        <v>1</v>
      </c>
      <c r="P68" s="19">
        <v>56</v>
      </c>
      <c r="Q68" s="19">
        <v>77</v>
      </c>
      <c r="R68" s="14">
        <f t="shared" si="0"/>
        <v>133</v>
      </c>
      <c r="S68" s="19" t="str">
        <f t="shared" si="5"/>
        <v>Stock Available</v>
      </c>
    </row>
    <row r="69" spans="2:19" x14ac:dyDescent="0.3">
      <c r="B69" s="6" t="s">
        <v>93</v>
      </c>
      <c r="C69" s="6" t="s">
        <v>70</v>
      </c>
      <c r="D69" s="6">
        <v>624</v>
      </c>
      <c r="E69" s="15">
        <v>118.66666666666667</v>
      </c>
      <c r="F69" s="8">
        <v>14</v>
      </c>
      <c r="G69" s="8">
        <v>54</v>
      </c>
      <c r="H69" s="10">
        <v>13</v>
      </c>
      <c r="I69" s="10">
        <v>53</v>
      </c>
      <c r="J69" s="17">
        <v>6</v>
      </c>
      <c r="K69" s="10">
        <v>46</v>
      </c>
      <c r="L69" s="17">
        <v>19</v>
      </c>
      <c r="M69" s="10">
        <v>59</v>
      </c>
      <c r="N69" s="14" t="s">
        <v>22</v>
      </c>
      <c r="O69" s="18">
        <v>1</v>
      </c>
      <c r="P69" s="19">
        <v>14</v>
      </c>
      <c r="Q69" s="19">
        <v>88</v>
      </c>
      <c r="R69" s="14">
        <f t="shared" ref="R69:R108" si="6">SUM(P69:Q69)</f>
        <v>102</v>
      </c>
      <c r="S69" s="19" t="str">
        <f t="shared" si="5"/>
        <v>Stock Available</v>
      </c>
    </row>
    <row r="70" spans="2:19" x14ac:dyDescent="0.3">
      <c r="B70" s="6" t="s">
        <v>94</v>
      </c>
      <c r="C70" s="6" t="s">
        <v>70</v>
      </c>
      <c r="D70" s="6">
        <v>522</v>
      </c>
      <c r="E70" s="15">
        <v>115.33333333333333</v>
      </c>
      <c r="F70" s="8">
        <v>15</v>
      </c>
      <c r="G70" s="8">
        <v>54</v>
      </c>
      <c r="H70" s="10">
        <v>14</v>
      </c>
      <c r="I70" s="10">
        <v>53</v>
      </c>
      <c r="J70" s="17">
        <v>6</v>
      </c>
      <c r="K70" s="10">
        <v>45</v>
      </c>
      <c r="L70" s="17">
        <v>20</v>
      </c>
      <c r="M70" s="10">
        <v>59</v>
      </c>
      <c r="N70" s="14" t="s">
        <v>22</v>
      </c>
      <c r="O70" s="18">
        <v>1</v>
      </c>
      <c r="P70" s="19">
        <v>35</v>
      </c>
      <c r="Q70" s="19">
        <v>76</v>
      </c>
      <c r="R70" s="14">
        <f t="shared" si="6"/>
        <v>111</v>
      </c>
      <c r="S70" s="19" t="str">
        <f t="shared" si="5"/>
        <v>Stock Available</v>
      </c>
    </row>
    <row r="71" spans="2:19" x14ac:dyDescent="0.3">
      <c r="B71" s="6" t="s">
        <v>95</v>
      </c>
      <c r="C71" s="6" t="s">
        <v>70</v>
      </c>
      <c r="D71" s="6">
        <v>583</v>
      </c>
      <c r="E71" s="15">
        <v>98</v>
      </c>
      <c r="F71" s="8">
        <v>26</v>
      </c>
      <c r="G71" s="8">
        <v>59</v>
      </c>
      <c r="H71" s="10">
        <v>26</v>
      </c>
      <c r="I71" s="10">
        <v>59</v>
      </c>
      <c r="J71" s="17">
        <v>5</v>
      </c>
      <c r="K71" s="10">
        <v>38</v>
      </c>
      <c r="L71" s="17">
        <v>31</v>
      </c>
      <c r="M71" s="10">
        <v>64</v>
      </c>
      <c r="N71" s="14" t="s">
        <v>22</v>
      </c>
      <c r="O71" s="18">
        <v>1</v>
      </c>
      <c r="P71" s="19">
        <v>55</v>
      </c>
      <c r="Q71" s="19">
        <v>54</v>
      </c>
      <c r="R71" s="14">
        <f t="shared" si="6"/>
        <v>109</v>
      </c>
      <c r="S71" s="19" t="str">
        <f t="shared" si="5"/>
        <v>Stock Available</v>
      </c>
    </row>
    <row r="72" spans="2:19" x14ac:dyDescent="0.3">
      <c r="B72" s="6" t="s">
        <v>96</v>
      </c>
      <c r="C72" s="6" t="s">
        <v>70</v>
      </c>
      <c r="D72" s="6">
        <v>453</v>
      </c>
      <c r="E72" s="15">
        <v>84</v>
      </c>
      <c r="F72" s="8">
        <v>24</v>
      </c>
      <c r="G72" s="8">
        <v>52</v>
      </c>
      <c r="H72" s="10">
        <v>23</v>
      </c>
      <c r="I72" s="10">
        <v>51</v>
      </c>
      <c r="J72" s="17">
        <v>4</v>
      </c>
      <c r="K72" s="10">
        <v>32</v>
      </c>
      <c r="L72" s="17">
        <v>28</v>
      </c>
      <c r="M72" s="10">
        <v>56</v>
      </c>
      <c r="N72" s="14" t="s">
        <v>22</v>
      </c>
      <c r="O72" s="18">
        <v>1</v>
      </c>
      <c r="P72" s="19">
        <v>34</v>
      </c>
      <c r="Q72" s="19">
        <v>66</v>
      </c>
      <c r="R72" s="14">
        <f t="shared" si="6"/>
        <v>100</v>
      </c>
      <c r="S72" s="19" t="str">
        <f t="shared" si="5"/>
        <v>Stock Available</v>
      </c>
    </row>
    <row r="73" spans="2:19" x14ac:dyDescent="0.3">
      <c r="B73" s="6" t="s">
        <v>97</v>
      </c>
      <c r="C73" s="6" t="s">
        <v>70</v>
      </c>
      <c r="D73" s="6">
        <v>476</v>
      </c>
      <c r="E73" s="15">
        <v>78.666666666666671</v>
      </c>
      <c r="F73" s="8">
        <v>7</v>
      </c>
      <c r="G73" s="8">
        <v>34</v>
      </c>
      <c r="H73" s="10">
        <v>5</v>
      </c>
      <c r="I73" s="10">
        <v>32</v>
      </c>
      <c r="J73" s="17">
        <v>4</v>
      </c>
      <c r="K73" s="10">
        <v>31</v>
      </c>
      <c r="L73" s="17">
        <v>10</v>
      </c>
      <c r="M73" s="10">
        <v>37</v>
      </c>
      <c r="N73" s="14" t="s">
        <v>22</v>
      </c>
      <c r="O73" s="18">
        <v>1</v>
      </c>
      <c r="P73" s="19">
        <v>32</v>
      </c>
      <c r="Q73" s="19">
        <v>89</v>
      </c>
      <c r="R73" s="14">
        <f t="shared" si="6"/>
        <v>121</v>
      </c>
      <c r="S73" s="19" t="str">
        <f t="shared" si="5"/>
        <v>Stock Available</v>
      </c>
    </row>
    <row r="74" spans="2:19" x14ac:dyDescent="0.3">
      <c r="B74" s="6" t="s">
        <v>98</v>
      </c>
      <c r="C74" s="6" t="s">
        <v>70</v>
      </c>
      <c r="D74" s="6">
        <v>321</v>
      </c>
      <c r="E74" s="15">
        <v>61.666666666666664</v>
      </c>
      <c r="F74" s="8">
        <v>23</v>
      </c>
      <c r="G74" s="8">
        <v>44</v>
      </c>
      <c r="H74" s="10">
        <v>23</v>
      </c>
      <c r="I74" s="10">
        <v>44</v>
      </c>
      <c r="J74" s="17">
        <v>3</v>
      </c>
      <c r="K74" s="10">
        <v>24</v>
      </c>
      <c r="L74" s="17">
        <v>26</v>
      </c>
      <c r="M74" s="10">
        <v>47</v>
      </c>
      <c r="N74" s="14" t="s">
        <v>22</v>
      </c>
      <c r="O74" s="18">
        <v>1</v>
      </c>
      <c r="P74" s="19">
        <v>98</v>
      </c>
      <c r="Q74" s="19">
        <v>90</v>
      </c>
      <c r="R74" s="14">
        <f t="shared" si="6"/>
        <v>188</v>
      </c>
      <c r="S74" s="19" t="str">
        <f t="shared" si="5"/>
        <v>Stock Available</v>
      </c>
    </row>
    <row r="75" spans="2:19" x14ac:dyDescent="0.3">
      <c r="B75" s="6" t="s">
        <v>99</v>
      </c>
      <c r="C75" s="6" t="s">
        <v>70</v>
      </c>
      <c r="D75" s="6">
        <v>340</v>
      </c>
      <c r="E75" s="15">
        <v>51</v>
      </c>
      <c r="F75" s="8">
        <v>20</v>
      </c>
      <c r="G75" s="8">
        <v>37</v>
      </c>
      <c r="H75" s="10">
        <v>20</v>
      </c>
      <c r="I75" s="10">
        <v>37</v>
      </c>
      <c r="J75" s="17">
        <v>3</v>
      </c>
      <c r="K75" s="10">
        <v>20</v>
      </c>
      <c r="L75" s="17">
        <v>22</v>
      </c>
      <c r="M75" s="10">
        <v>39</v>
      </c>
      <c r="N75" s="14" t="s">
        <v>22</v>
      </c>
      <c r="O75" s="18">
        <v>1</v>
      </c>
      <c r="P75" s="19">
        <v>35</v>
      </c>
      <c r="Q75" s="19">
        <v>46</v>
      </c>
      <c r="R75" s="14">
        <f t="shared" si="6"/>
        <v>81</v>
      </c>
      <c r="S75" s="19" t="str">
        <f t="shared" si="5"/>
        <v>Stock Available</v>
      </c>
    </row>
    <row r="76" spans="2:19" x14ac:dyDescent="0.3">
      <c r="B76" s="6" t="s">
        <v>100</v>
      </c>
      <c r="C76" s="6" t="s">
        <v>70</v>
      </c>
      <c r="D76" s="6">
        <v>223</v>
      </c>
      <c r="E76" s="15">
        <v>44.333333333333336</v>
      </c>
      <c r="F76" s="8">
        <v>42</v>
      </c>
      <c r="G76" s="8">
        <v>57</v>
      </c>
      <c r="H76" s="10">
        <v>42</v>
      </c>
      <c r="I76" s="10">
        <v>57</v>
      </c>
      <c r="J76" s="17">
        <v>2</v>
      </c>
      <c r="K76" s="10">
        <v>17</v>
      </c>
      <c r="L76" s="17">
        <v>44</v>
      </c>
      <c r="M76" s="10">
        <v>59</v>
      </c>
      <c r="N76" s="14" t="s">
        <v>22</v>
      </c>
      <c r="O76" s="18">
        <v>1</v>
      </c>
      <c r="P76" s="19">
        <v>50</v>
      </c>
      <c r="Q76" s="19">
        <v>32</v>
      </c>
      <c r="R76" s="14">
        <f t="shared" si="6"/>
        <v>82</v>
      </c>
      <c r="S76" s="19" t="str">
        <f t="shared" si="5"/>
        <v>Stock Available</v>
      </c>
    </row>
    <row r="77" spans="2:19" x14ac:dyDescent="0.3">
      <c r="B77" s="6" t="s">
        <v>101</v>
      </c>
      <c r="C77" s="6" t="s">
        <v>70</v>
      </c>
      <c r="D77" s="6">
        <v>350</v>
      </c>
      <c r="E77" s="15">
        <v>42.333333333333336</v>
      </c>
      <c r="F77" s="8">
        <v>3</v>
      </c>
      <c r="G77" s="8">
        <v>17</v>
      </c>
      <c r="H77" s="10">
        <v>2</v>
      </c>
      <c r="I77" s="10">
        <v>16</v>
      </c>
      <c r="J77" s="17">
        <v>2</v>
      </c>
      <c r="K77" s="10">
        <v>16</v>
      </c>
      <c r="L77" s="17">
        <v>4</v>
      </c>
      <c r="M77" s="10">
        <v>18</v>
      </c>
      <c r="N77" s="14" t="s">
        <v>22</v>
      </c>
      <c r="O77" s="18">
        <v>1</v>
      </c>
      <c r="P77" s="19">
        <v>10</v>
      </c>
      <c r="Q77" s="19">
        <v>67</v>
      </c>
      <c r="R77" s="14">
        <f t="shared" si="6"/>
        <v>77</v>
      </c>
      <c r="S77" s="19" t="str">
        <f t="shared" si="5"/>
        <v>Stock Available</v>
      </c>
    </row>
    <row r="78" spans="2:19" x14ac:dyDescent="0.3">
      <c r="B78" s="6" t="s">
        <v>102</v>
      </c>
      <c r="C78" s="6" t="s">
        <v>70</v>
      </c>
      <c r="D78" s="6">
        <v>352</v>
      </c>
      <c r="E78" s="15">
        <v>42.333333333333336</v>
      </c>
      <c r="F78" s="8">
        <v>21</v>
      </c>
      <c r="G78" s="8">
        <v>35</v>
      </c>
      <c r="H78" s="10">
        <v>21</v>
      </c>
      <c r="I78" s="10">
        <v>35</v>
      </c>
      <c r="J78" s="17">
        <v>2</v>
      </c>
      <c r="K78" s="10">
        <v>16</v>
      </c>
      <c r="L78" s="17">
        <v>23</v>
      </c>
      <c r="M78" s="10">
        <v>37</v>
      </c>
      <c r="N78" s="14" t="s">
        <v>22</v>
      </c>
      <c r="O78" s="18">
        <v>1</v>
      </c>
      <c r="P78" s="19">
        <v>55</v>
      </c>
      <c r="Q78" s="19">
        <v>87</v>
      </c>
      <c r="R78" s="14">
        <f t="shared" si="6"/>
        <v>142</v>
      </c>
      <c r="S78" s="19" t="str">
        <f t="shared" si="5"/>
        <v>Stock Available</v>
      </c>
    </row>
    <row r="79" spans="2:19" x14ac:dyDescent="0.3">
      <c r="B79" s="6" t="s">
        <v>103</v>
      </c>
      <c r="C79" s="6" t="s">
        <v>70</v>
      </c>
      <c r="D79" s="6">
        <v>106</v>
      </c>
      <c r="E79" s="15">
        <v>22</v>
      </c>
      <c r="F79" s="8">
        <v>25</v>
      </c>
      <c r="G79" s="8">
        <v>32</v>
      </c>
      <c r="H79" s="10">
        <v>25</v>
      </c>
      <c r="I79" s="10">
        <v>32</v>
      </c>
      <c r="J79" s="17">
        <v>1</v>
      </c>
      <c r="K79" s="10">
        <v>8</v>
      </c>
      <c r="L79" s="17">
        <v>26</v>
      </c>
      <c r="M79" s="10">
        <v>33</v>
      </c>
      <c r="N79" s="14" t="s">
        <v>22</v>
      </c>
      <c r="O79" s="18">
        <v>1</v>
      </c>
      <c r="P79" s="19">
        <v>34</v>
      </c>
      <c r="Q79" s="19">
        <v>98</v>
      </c>
      <c r="R79" s="14">
        <f t="shared" si="6"/>
        <v>132</v>
      </c>
      <c r="S79" s="19" t="str">
        <f t="shared" si="5"/>
        <v>Stock Available</v>
      </c>
    </row>
    <row r="80" spans="2:19" x14ac:dyDescent="0.3">
      <c r="B80" s="6" t="s">
        <v>104</v>
      </c>
      <c r="C80" s="6" t="s">
        <v>70</v>
      </c>
      <c r="D80" s="6">
        <v>159</v>
      </c>
      <c r="E80" s="15">
        <v>20.666666666666668</v>
      </c>
      <c r="F80" s="8">
        <v>3</v>
      </c>
      <c r="G80" s="8">
        <v>10</v>
      </c>
      <c r="H80" s="10">
        <v>3</v>
      </c>
      <c r="I80" s="10">
        <v>10</v>
      </c>
      <c r="J80" s="17">
        <v>1</v>
      </c>
      <c r="K80" s="10">
        <v>8</v>
      </c>
      <c r="L80" s="17">
        <v>4</v>
      </c>
      <c r="M80" s="10">
        <v>11</v>
      </c>
      <c r="N80" s="14" t="s">
        <v>22</v>
      </c>
      <c r="O80" s="18">
        <v>1</v>
      </c>
      <c r="P80" s="19">
        <v>16</v>
      </c>
      <c r="Q80" s="19">
        <v>66</v>
      </c>
      <c r="R80" s="14">
        <f t="shared" si="6"/>
        <v>82</v>
      </c>
      <c r="S80" s="19" t="str">
        <f t="shared" si="5"/>
        <v>Stock Available</v>
      </c>
    </row>
    <row r="81" spans="2:19" x14ac:dyDescent="0.3">
      <c r="B81" s="6" t="s">
        <v>105</v>
      </c>
      <c r="C81" s="6" t="s">
        <v>70</v>
      </c>
      <c r="D81" s="6">
        <v>64</v>
      </c>
      <c r="E81" s="15">
        <v>8</v>
      </c>
      <c r="F81" s="8">
        <v>9</v>
      </c>
      <c r="G81" s="8">
        <v>12</v>
      </c>
      <c r="H81" s="10">
        <v>9</v>
      </c>
      <c r="I81" s="10">
        <v>12</v>
      </c>
      <c r="J81" s="17">
        <v>0</v>
      </c>
      <c r="K81" s="10">
        <v>3</v>
      </c>
      <c r="L81" s="17">
        <v>9</v>
      </c>
      <c r="M81" s="10">
        <v>12</v>
      </c>
      <c r="N81" s="14" t="s">
        <v>22</v>
      </c>
      <c r="O81" s="18">
        <v>1</v>
      </c>
      <c r="P81" s="19">
        <v>11</v>
      </c>
      <c r="Q81" s="19">
        <v>55</v>
      </c>
      <c r="R81" s="14">
        <f t="shared" si="6"/>
        <v>66</v>
      </c>
      <c r="S81" s="19" t="str">
        <f t="shared" si="5"/>
        <v>Stock Available</v>
      </c>
    </row>
    <row r="82" spans="2:19" x14ac:dyDescent="0.3">
      <c r="B82" s="6" t="s">
        <v>106</v>
      </c>
      <c r="C82" s="6" t="s">
        <v>70</v>
      </c>
      <c r="D82" s="6">
        <v>46</v>
      </c>
      <c r="E82" s="15">
        <v>5.333333333333333</v>
      </c>
      <c r="F82" s="8">
        <v>6</v>
      </c>
      <c r="G82" s="8">
        <v>8</v>
      </c>
      <c r="H82" s="10">
        <v>6</v>
      </c>
      <c r="I82" s="10">
        <v>8</v>
      </c>
      <c r="J82" s="17">
        <v>0</v>
      </c>
      <c r="K82" s="10">
        <v>2</v>
      </c>
      <c r="L82" s="17">
        <v>6</v>
      </c>
      <c r="M82" s="10">
        <v>8</v>
      </c>
      <c r="N82" s="14" t="s">
        <v>22</v>
      </c>
      <c r="O82" s="18">
        <v>1</v>
      </c>
      <c r="P82" s="19">
        <v>13</v>
      </c>
      <c r="Q82" s="19">
        <v>43</v>
      </c>
      <c r="R82" s="14">
        <f t="shared" si="6"/>
        <v>56</v>
      </c>
      <c r="S82" s="19" t="str">
        <f t="shared" si="5"/>
        <v>Stock Available</v>
      </c>
    </row>
    <row r="83" spans="2:19" x14ac:dyDescent="0.3">
      <c r="B83" s="6" t="s">
        <v>107</v>
      </c>
      <c r="C83" s="6" t="s">
        <v>108</v>
      </c>
      <c r="D83" s="6">
        <v>4561</v>
      </c>
      <c r="E83" s="7">
        <v>617</v>
      </c>
      <c r="F83" s="20">
        <v>76</v>
      </c>
      <c r="G83" s="9">
        <v>285</v>
      </c>
      <c r="H83" s="21">
        <v>69</v>
      </c>
      <c r="I83" s="22">
        <v>278</v>
      </c>
      <c r="J83" s="21">
        <v>31</v>
      </c>
      <c r="K83" s="22">
        <v>240</v>
      </c>
      <c r="L83" s="21">
        <v>101</v>
      </c>
      <c r="M83" s="23">
        <v>310</v>
      </c>
      <c r="N83" s="19" t="s">
        <v>22</v>
      </c>
      <c r="O83" s="18">
        <v>1</v>
      </c>
      <c r="P83" s="19">
        <v>300</v>
      </c>
      <c r="Q83" s="19">
        <v>66</v>
      </c>
      <c r="R83" s="14">
        <f t="shared" si="6"/>
        <v>366</v>
      </c>
      <c r="S83" s="19" t="str">
        <f>IF(R83&lt;(G83+G83*10%),"Refill","Stock Available")</f>
        <v>Stock Available</v>
      </c>
    </row>
    <row r="84" spans="2:19" x14ac:dyDescent="0.3">
      <c r="B84" s="6" t="s">
        <v>109</v>
      </c>
      <c r="C84" s="6" t="s">
        <v>108</v>
      </c>
      <c r="D84" s="6">
        <v>1504</v>
      </c>
      <c r="E84" s="15">
        <v>258.66666666666669</v>
      </c>
      <c r="F84" s="20">
        <v>56</v>
      </c>
      <c r="G84" s="9">
        <v>144</v>
      </c>
      <c r="H84" s="21">
        <v>54</v>
      </c>
      <c r="I84" s="22">
        <v>142</v>
      </c>
      <c r="J84" s="21">
        <v>13</v>
      </c>
      <c r="K84" s="22">
        <v>101</v>
      </c>
      <c r="L84" s="21">
        <v>67</v>
      </c>
      <c r="M84" s="23">
        <v>155</v>
      </c>
      <c r="N84" s="19" t="s">
        <v>22</v>
      </c>
      <c r="O84" s="18">
        <v>1</v>
      </c>
      <c r="P84" s="19">
        <v>55</v>
      </c>
      <c r="Q84" s="19">
        <v>54</v>
      </c>
      <c r="R84" s="14">
        <f t="shared" si="6"/>
        <v>109</v>
      </c>
      <c r="S84" s="19" t="str">
        <f t="shared" ref="S84:S94" si="7">IF(R84&lt;(G84+G84*10%),"Refill","Stock Available")</f>
        <v>Refill</v>
      </c>
    </row>
    <row r="85" spans="2:19" x14ac:dyDescent="0.3">
      <c r="B85" s="6" t="s">
        <v>110</v>
      </c>
      <c r="C85" s="6" t="s">
        <v>108</v>
      </c>
      <c r="D85" s="6">
        <v>822</v>
      </c>
      <c r="E85" s="7">
        <v>126</v>
      </c>
      <c r="F85" s="20">
        <v>29</v>
      </c>
      <c r="G85" s="9">
        <v>72</v>
      </c>
      <c r="H85" s="24">
        <v>29</v>
      </c>
      <c r="I85" s="9">
        <v>72</v>
      </c>
      <c r="J85" s="21">
        <v>6</v>
      </c>
      <c r="K85" s="22">
        <v>49</v>
      </c>
      <c r="L85" s="21">
        <v>35</v>
      </c>
      <c r="M85" s="23">
        <v>78</v>
      </c>
      <c r="N85" s="19" t="s">
        <v>111</v>
      </c>
      <c r="O85" s="18">
        <v>1</v>
      </c>
      <c r="P85" s="19">
        <v>21</v>
      </c>
      <c r="Q85" s="19">
        <v>78</v>
      </c>
      <c r="R85" s="14">
        <f t="shared" si="6"/>
        <v>99</v>
      </c>
      <c r="S85" s="19" t="str">
        <f t="shared" si="7"/>
        <v>Stock Available</v>
      </c>
    </row>
    <row r="86" spans="2:19" x14ac:dyDescent="0.3">
      <c r="B86" s="6" t="s">
        <v>112</v>
      </c>
      <c r="C86" s="6" t="s">
        <v>108</v>
      </c>
      <c r="D86" s="6">
        <v>460</v>
      </c>
      <c r="E86" s="15">
        <v>75.666666666666671</v>
      </c>
      <c r="F86" s="20">
        <v>14</v>
      </c>
      <c r="G86" s="9">
        <v>40</v>
      </c>
      <c r="H86" s="24">
        <v>14</v>
      </c>
      <c r="I86" s="9">
        <v>40</v>
      </c>
      <c r="J86" s="21">
        <v>4</v>
      </c>
      <c r="K86" s="22">
        <v>30</v>
      </c>
      <c r="L86" s="21">
        <v>18</v>
      </c>
      <c r="M86" s="23">
        <v>44</v>
      </c>
      <c r="N86" s="19" t="s">
        <v>111</v>
      </c>
      <c r="O86" s="18">
        <v>1</v>
      </c>
      <c r="P86" s="19">
        <v>18</v>
      </c>
      <c r="Q86" s="19">
        <v>23</v>
      </c>
      <c r="R86" s="14">
        <f t="shared" si="6"/>
        <v>41</v>
      </c>
      <c r="S86" s="19" t="str">
        <f t="shared" si="7"/>
        <v>Refill</v>
      </c>
    </row>
    <row r="87" spans="2:19" x14ac:dyDescent="0.3">
      <c r="B87" s="6" t="s">
        <v>113</v>
      </c>
      <c r="C87" s="6" t="s">
        <v>108</v>
      </c>
      <c r="D87" s="6">
        <v>1024</v>
      </c>
      <c r="E87" s="7">
        <v>151</v>
      </c>
      <c r="F87" s="20">
        <v>13</v>
      </c>
      <c r="G87" s="9">
        <v>64</v>
      </c>
      <c r="H87" s="21">
        <v>11</v>
      </c>
      <c r="I87" s="22">
        <v>62</v>
      </c>
      <c r="J87" s="21">
        <v>8</v>
      </c>
      <c r="K87" s="22">
        <v>59</v>
      </c>
      <c r="L87" s="21">
        <v>18</v>
      </c>
      <c r="M87" s="23">
        <v>69</v>
      </c>
      <c r="N87" s="19" t="s">
        <v>22</v>
      </c>
      <c r="O87" s="18">
        <v>1</v>
      </c>
      <c r="P87" s="19">
        <v>55</v>
      </c>
      <c r="Q87" s="19">
        <v>67</v>
      </c>
      <c r="R87" s="14">
        <f t="shared" si="6"/>
        <v>122</v>
      </c>
      <c r="S87" s="19" t="str">
        <f t="shared" si="7"/>
        <v>Stock Available</v>
      </c>
    </row>
    <row r="88" spans="2:19" x14ac:dyDescent="0.3">
      <c r="B88" s="6" t="s">
        <v>114</v>
      </c>
      <c r="C88" s="6" t="s">
        <v>108</v>
      </c>
      <c r="D88" s="6">
        <v>1795</v>
      </c>
      <c r="E88" s="7">
        <v>270</v>
      </c>
      <c r="F88" s="20">
        <v>62</v>
      </c>
      <c r="G88" s="9">
        <v>153</v>
      </c>
      <c r="H88" s="24">
        <v>61</v>
      </c>
      <c r="I88" s="9">
        <v>152</v>
      </c>
      <c r="J88" s="21">
        <v>14</v>
      </c>
      <c r="K88" s="22">
        <v>105</v>
      </c>
      <c r="L88" s="21">
        <v>75</v>
      </c>
      <c r="M88" s="23">
        <v>166</v>
      </c>
      <c r="N88" s="19" t="s">
        <v>115</v>
      </c>
      <c r="O88" s="18">
        <v>1</v>
      </c>
      <c r="P88" s="19">
        <v>44</v>
      </c>
      <c r="Q88" s="19">
        <v>44</v>
      </c>
      <c r="R88" s="14">
        <f t="shared" si="6"/>
        <v>88</v>
      </c>
      <c r="S88" s="19" t="str">
        <f t="shared" si="7"/>
        <v>Refill</v>
      </c>
    </row>
    <row r="89" spans="2:19" x14ac:dyDescent="0.3">
      <c r="B89" s="6" t="s">
        <v>116</v>
      </c>
      <c r="C89" s="6" t="s">
        <v>108</v>
      </c>
      <c r="D89" s="6">
        <v>2860</v>
      </c>
      <c r="E89" s="7">
        <v>572</v>
      </c>
      <c r="F89" s="20">
        <v>198</v>
      </c>
      <c r="G89" s="9">
        <v>392</v>
      </c>
      <c r="H89" s="21">
        <v>195</v>
      </c>
      <c r="I89" s="22">
        <v>389</v>
      </c>
      <c r="J89" s="21">
        <v>29</v>
      </c>
      <c r="K89" s="22">
        <v>223</v>
      </c>
      <c r="L89" s="21">
        <v>225</v>
      </c>
      <c r="M89" s="23">
        <v>419</v>
      </c>
      <c r="N89" s="19" t="s">
        <v>22</v>
      </c>
      <c r="O89" s="18">
        <v>1</v>
      </c>
      <c r="P89" s="19">
        <v>32</v>
      </c>
      <c r="Q89" s="19">
        <v>76</v>
      </c>
      <c r="R89" s="14">
        <f t="shared" si="6"/>
        <v>108</v>
      </c>
      <c r="S89" s="19" t="str">
        <f t="shared" si="7"/>
        <v>Refill</v>
      </c>
    </row>
    <row r="90" spans="2:19" x14ac:dyDescent="0.3">
      <c r="B90" s="6" t="s">
        <v>117</v>
      </c>
      <c r="C90" s="6" t="s">
        <v>108</v>
      </c>
      <c r="D90" s="6">
        <v>1380</v>
      </c>
      <c r="E90" s="7">
        <v>347</v>
      </c>
      <c r="F90" s="20">
        <v>44</v>
      </c>
      <c r="G90" s="9">
        <v>161</v>
      </c>
      <c r="H90" s="21">
        <v>41</v>
      </c>
      <c r="I90" s="22">
        <v>158</v>
      </c>
      <c r="J90" s="21">
        <v>18</v>
      </c>
      <c r="K90" s="22">
        <v>135</v>
      </c>
      <c r="L90" s="21">
        <v>58</v>
      </c>
      <c r="M90" s="23">
        <v>175</v>
      </c>
      <c r="N90" s="19" t="s">
        <v>22</v>
      </c>
      <c r="O90" s="18">
        <v>1</v>
      </c>
      <c r="P90" s="19">
        <v>51</v>
      </c>
      <c r="Q90" s="19">
        <v>54</v>
      </c>
      <c r="R90" s="14">
        <f t="shared" si="6"/>
        <v>105</v>
      </c>
      <c r="S90" s="19" t="str">
        <f t="shared" si="7"/>
        <v>Refill</v>
      </c>
    </row>
    <row r="91" spans="2:19" x14ac:dyDescent="0.3">
      <c r="B91" s="6" t="s">
        <v>118</v>
      </c>
      <c r="C91" s="6" t="s">
        <v>108</v>
      </c>
      <c r="D91" s="6">
        <v>1175</v>
      </c>
      <c r="E91" s="7">
        <v>252</v>
      </c>
      <c r="F91" s="20">
        <v>35</v>
      </c>
      <c r="G91" s="9">
        <v>120</v>
      </c>
      <c r="H91" s="21">
        <v>33</v>
      </c>
      <c r="I91" s="22">
        <v>118</v>
      </c>
      <c r="J91" s="21">
        <v>13</v>
      </c>
      <c r="K91" s="22">
        <v>98</v>
      </c>
      <c r="L91" s="21">
        <v>46</v>
      </c>
      <c r="M91" s="23">
        <v>131</v>
      </c>
      <c r="N91" s="19" t="s">
        <v>22</v>
      </c>
      <c r="O91" s="18">
        <v>1</v>
      </c>
      <c r="P91" s="19">
        <v>47</v>
      </c>
      <c r="Q91" s="19">
        <v>23</v>
      </c>
      <c r="R91" s="14">
        <f t="shared" si="6"/>
        <v>70</v>
      </c>
      <c r="S91" s="19" t="str">
        <f t="shared" si="7"/>
        <v>Refill</v>
      </c>
    </row>
    <row r="92" spans="2:19" x14ac:dyDescent="0.3">
      <c r="B92" s="6" t="s">
        <v>119</v>
      </c>
      <c r="C92" s="6" t="s">
        <v>108</v>
      </c>
      <c r="D92" s="6">
        <v>906</v>
      </c>
      <c r="E92" s="7">
        <v>133</v>
      </c>
      <c r="F92" s="20">
        <v>81</v>
      </c>
      <c r="G92" s="9">
        <v>126</v>
      </c>
      <c r="H92" s="21">
        <v>81</v>
      </c>
      <c r="I92" s="22">
        <v>126</v>
      </c>
      <c r="J92" s="21">
        <v>7</v>
      </c>
      <c r="K92" s="22">
        <v>52</v>
      </c>
      <c r="L92" s="21">
        <v>87</v>
      </c>
      <c r="M92" s="23">
        <v>132</v>
      </c>
      <c r="N92" s="19" t="s">
        <v>22</v>
      </c>
      <c r="O92" s="18">
        <v>1</v>
      </c>
      <c r="P92" s="19">
        <v>100</v>
      </c>
      <c r="Q92" s="19">
        <v>18</v>
      </c>
      <c r="R92" s="14">
        <f t="shared" si="6"/>
        <v>118</v>
      </c>
      <c r="S92" s="19" t="str">
        <f t="shared" si="7"/>
        <v>Refill</v>
      </c>
    </row>
    <row r="93" spans="2:19" x14ac:dyDescent="0.3">
      <c r="B93" s="6" t="s">
        <v>120</v>
      </c>
      <c r="C93" s="6" t="s">
        <v>108</v>
      </c>
      <c r="D93" s="6">
        <v>1450</v>
      </c>
      <c r="E93" s="7">
        <v>266</v>
      </c>
      <c r="F93" s="20">
        <v>83</v>
      </c>
      <c r="G93" s="9">
        <v>173</v>
      </c>
      <c r="H93" s="21">
        <v>82</v>
      </c>
      <c r="I93" s="22">
        <v>172</v>
      </c>
      <c r="J93" s="21">
        <v>14</v>
      </c>
      <c r="K93" s="22">
        <v>104</v>
      </c>
      <c r="L93" s="21">
        <v>95</v>
      </c>
      <c r="M93" s="23">
        <v>185</v>
      </c>
      <c r="N93" s="19" t="s">
        <v>22</v>
      </c>
      <c r="O93" s="18">
        <v>1</v>
      </c>
      <c r="P93" s="19">
        <v>250</v>
      </c>
      <c r="Q93" s="19">
        <v>99</v>
      </c>
      <c r="R93" s="14">
        <f t="shared" si="6"/>
        <v>349</v>
      </c>
      <c r="S93" s="19" t="str">
        <f t="shared" si="7"/>
        <v>Stock Available</v>
      </c>
    </row>
    <row r="94" spans="2:19" x14ac:dyDescent="0.3">
      <c r="B94" s="6" t="s">
        <v>121</v>
      </c>
      <c r="C94" s="6" t="s">
        <v>108</v>
      </c>
      <c r="D94" s="6">
        <v>750</v>
      </c>
      <c r="E94" s="7">
        <v>137</v>
      </c>
      <c r="F94" s="20">
        <v>83</v>
      </c>
      <c r="G94" s="9">
        <v>129</v>
      </c>
      <c r="H94" s="21">
        <v>82</v>
      </c>
      <c r="I94" s="22">
        <v>128</v>
      </c>
      <c r="J94" s="21">
        <v>7</v>
      </c>
      <c r="K94" s="22">
        <v>53</v>
      </c>
      <c r="L94" s="21">
        <v>89</v>
      </c>
      <c r="M94" s="23">
        <v>135</v>
      </c>
      <c r="N94" s="19" t="s">
        <v>87</v>
      </c>
      <c r="O94" s="18">
        <v>1</v>
      </c>
      <c r="P94" s="19">
        <v>44</v>
      </c>
      <c r="Q94" s="19">
        <v>88</v>
      </c>
      <c r="R94" s="14">
        <f t="shared" si="6"/>
        <v>132</v>
      </c>
      <c r="S94" s="19" t="str">
        <f t="shared" si="7"/>
        <v>Refill</v>
      </c>
    </row>
    <row r="95" spans="2:19" x14ac:dyDescent="0.3">
      <c r="B95" s="6" t="s">
        <v>122</v>
      </c>
      <c r="C95" s="6" t="s">
        <v>123</v>
      </c>
      <c r="D95" s="6">
        <v>2556</v>
      </c>
      <c r="E95" s="25">
        <v>366</v>
      </c>
      <c r="F95" s="8">
        <v>46</v>
      </c>
      <c r="G95" s="8">
        <v>170</v>
      </c>
      <c r="H95" s="17">
        <v>43</v>
      </c>
      <c r="I95" s="10">
        <v>167</v>
      </c>
      <c r="J95" s="17">
        <v>19</v>
      </c>
      <c r="K95" s="10">
        <v>143</v>
      </c>
      <c r="L95" s="17">
        <v>61</v>
      </c>
      <c r="M95" s="10">
        <v>185</v>
      </c>
      <c r="N95" s="14" t="s">
        <v>22</v>
      </c>
      <c r="O95" s="13">
        <v>1</v>
      </c>
      <c r="P95" s="14">
        <v>35</v>
      </c>
      <c r="Q95" s="14">
        <v>66</v>
      </c>
      <c r="R95" s="14">
        <f t="shared" si="6"/>
        <v>101</v>
      </c>
      <c r="S95" s="14" t="str">
        <f>IF(R95&lt;(G95+G95*10%),"Refill","Stock Available")</f>
        <v>Refill</v>
      </c>
    </row>
    <row r="96" spans="2:19" x14ac:dyDescent="0.3">
      <c r="B96" s="6" t="s">
        <v>124</v>
      </c>
      <c r="C96" s="6" t="s">
        <v>123</v>
      </c>
      <c r="D96" s="6">
        <v>2233</v>
      </c>
      <c r="E96" s="25">
        <v>370</v>
      </c>
      <c r="F96" s="8">
        <v>65</v>
      </c>
      <c r="G96" s="8">
        <v>190</v>
      </c>
      <c r="H96" s="17">
        <v>62</v>
      </c>
      <c r="I96" s="10">
        <v>187</v>
      </c>
      <c r="J96" s="17">
        <v>19</v>
      </c>
      <c r="K96" s="10">
        <v>144</v>
      </c>
      <c r="L96" s="17">
        <v>81</v>
      </c>
      <c r="M96" s="10">
        <v>206</v>
      </c>
      <c r="N96" s="14" t="s">
        <v>22</v>
      </c>
      <c r="O96" s="13">
        <v>1</v>
      </c>
      <c r="P96" s="14">
        <v>56</v>
      </c>
      <c r="Q96" s="14">
        <v>87</v>
      </c>
      <c r="R96" s="14">
        <f t="shared" si="6"/>
        <v>143</v>
      </c>
      <c r="S96" s="14" t="str">
        <f t="shared" ref="S96:S98" si="8">IF(R96&lt;(G96+G96*10%),"Refill","Stock Available")</f>
        <v>Refill</v>
      </c>
    </row>
    <row r="97" spans="2:19" x14ac:dyDescent="0.3">
      <c r="B97" s="6" t="s">
        <v>125</v>
      </c>
      <c r="C97" s="6" t="s">
        <v>123</v>
      </c>
      <c r="D97" s="6">
        <v>2096</v>
      </c>
      <c r="E97" s="26">
        <v>366.33333333333331</v>
      </c>
      <c r="F97" s="8">
        <v>102</v>
      </c>
      <c r="G97" s="8">
        <v>226</v>
      </c>
      <c r="H97" s="17">
        <v>100</v>
      </c>
      <c r="I97" s="10">
        <v>224</v>
      </c>
      <c r="J97" s="17">
        <v>19</v>
      </c>
      <c r="K97" s="10">
        <v>143</v>
      </c>
      <c r="L97" s="17">
        <v>119</v>
      </c>
      <c r="M97" s="10">
        <v>243</v>
      </c>
      <c r="N97" s="14" t="s">
        <v>22</v>
      </c>
      <c r="O97" s="13">
        <v>1</v>
      </c>
      <c r="P97" s="14">
        <v>77</v>
      </c>
      <c r="Q97" s="14">
        <v>65</v>
      </c>
      <c r="R97" s="14">
        <f t="shared" si="6"/>
        <v>142</v>
      </c>
      <c r="S97" s="14" t="str">
        <f t="shared" si="8"/>
        <v>Refill</v>
      </c>
    </row>
    <row r="98" spans="2:19" x14ac:dyDescent="0.3">
      <c r="B98" s="6" t="s">
        <v>126</v>
      </c>
      <c r="C98" s="6" t="s">
        <v>123</v>
      </c>
      <c r="D98" s="6">
        <v>3181</v>
      </c>
      <c r="E98" s="26">
        <v>608.66666666666663</v>
      </c>
      <c r="F98" s="8">
        <v>113</v>
      </c>
      <c r="G98" s="8">
        <v>319</v>
      </c>
      <c r="H98" s="17">
        <v>109</v>
      </c>
      <c r="I98" s="10">
        <v>315</v>
      </c>
      <c r="J98" s="17">
        <v>31</v>
      </c>
      <c r="K98" s="10">
        <v>237</v>
      </c>
      <c r="L98" s="17">
        <v>140</v>
      </c>
      <c r="M98" s="10">
        <v>346</v>
      </c>
      <c r="N98" s="14" t="s">
        <v>22</v>
      </c>
      <c r="O98" s="13">
        <v>1</v>
      </c>
      <c r="P98" s="14">
        <v>54</v>
      </c>
      <c r="Q98" s="14">
        <v>120</v>
      </c>
      <c r="R98" s="14">
        <f t="shared" si="6"/>
        <v>174</v>
      </c>
      <c r="S98" s="14" t="str">
        <f t="shared" si="8"/>
        <v>Refill</v>
      </c>
    </row>
    <row r="99" spans="2:19" x14ac:dyDescent="0.3">
      <c r="B99" s="6" t="s">
        <v>127</v>
      </c>
      <c r="C99" s="6" t="s">
        <v>128</v>
      </c>
      <c r="D99" s="6">
        <v>1468</v>
      </c>
      <c r="E99" s="15">
        <v>489.33333333333331</v>
      </c>
      <c r="F99" s="10">
        <v>135</v>
      </c>
      <c r="G99" s="10">
        <v>301</v>
      </c>
      <c r="H99" s="8">
        <v>133</v>
      </c>
      <c r="I99" s="8">
        <v>299</v>
      </c>
      <c r="J99" s="10">
        <v>25</v>
      </c>
      <c r="K99" s="10">
        <v>191</v>
      </c>
      <c r="L99" s="10">
        <v>158</v>
      </c>
      <c r="M99" s="10">
        <v>324</v>
      </c>
      <c r="N99" s="14" t="s">
        <v>129</v>
      </c>
      <c r="O99" s="13">
        <v>1</v>
      </c>
      <c r="P99" s="14">
        <v>77</v>
      </c>
      <c r="Q99" s="14">
        <v>66</v>
      </c>
      <c r="R99" s="14">
        <f t="shared" si="6"/>
        <v>143</v>
      </c>
      <c r="S99" s="14" t="str">
        <f>IF(R99&lt;(I99+I99*10%),"Refill","Stock Available")</f>
        <v>Refill</v>
      </c>
    </row>
    <row r="100" spans="2:19" x14ac:dyDescent="0.3">
      <c r="B100" s="6" t="s">
        <v>130</v>
      </c>
      <c r="C100" s="6" t="s">
        <v>128</v>
      </c>
      <c r="D100" s="6">
        <v>760</v>
      </c>
      <c r="E100" s="15">
        <v>253.33333333333334</v>
      </c>
      <c r="F100" s="10">
        <v>25</v>
      </c>
      <c r="G100" s="10">
        <v>111</v>
      </c>
      <c r="H100" s="8">
        <v>22</v>
      </c>
      <c r="I100" s="8">
        <v>108</v>
      </c>
      <c r="J100" s="10">
        <v>13</v>
      </c>
      <c r="K100" s="10">
        <v>99</v>
      </c>
      <c r="L100" s="10">
        <v>35</v>
      </c>
      <c r="M100" s="10">
        <v>121</v>
      </c>
      <c r="N100" s="14" t="s">
        <v>129</v>
      </c>
      <c r="O100" s="13">
        <v>1</v>
      </c>
      <c r="P100" s="14">
        <v>43</v>
      </c>
      <c r="Q100" s="14">
        <v>54</v>
      </c>
      <c r="R100" s="14">
        <f t="shared" si="6"/>
        <v>97</v>
      </c>
      <c r="S100" s="14" t="str">
        <f t="shared" ref="S100:S108" si="9">IF(R100&lt;(I100+I100*10%),"Refill","Stock Available")</f>
        <v>Refill</v>
      </c>
    </row>
    <row r="101" spans="2:19" x14ac:dyDescent="0.3">
      <c r="B101" s="6" t="s">
        <v>131</v>
      </c>
      <c r="C101" s="6" t="s">
        <v>128</v>
      </c>
      <c r="D101" s="6">
        <v>963</v>
      </c>
      <c r="E101" s="15">
        <v>180</v>
      </c>
      <c r="F101" s="10">
        <v>11</v>
      </c>
      <c r="G101" s="10">
        <v>72</v>
      </c>
      <c r="H101" s="8">
        <v>7</v>
      </c>
      <c r="I101" s="8">
        <v>68</v>
      </c>
      <c r="J101" s="10">
        <v>9</v>
      </c>
      <c r="K101" s="10">
        <v>70</v>
      </c>
      <c r="L101" s="10">
        <v>16</v>
      </c>
      <c r="M101" s="10">
        <v>77</v>
      </c>
      <c r="N101" s="14" t="s">
        <v>129</v>
      </c>
      <c r="O101" s="13">
        <v>1</v>
      </c>
      <c r="P101" s="14">
        <v>11</v>
      </c>
      <c r="Q101" s="14">
        <v>62</v>
      </c>
      <c r="R101" s="14">
        <f t="shared" si="6"/>
        <v>73</v>
      </c>
      <c r="S101" s="14" t="str">
        <f t="shared" si="9"/>
        <v>Refill</v>
      </c>
    </row>
    <row r="102" spans="2:19" x14ac:dyDescent="0.3">
      <c r="B102" s="6" t="s">
        <v>132</v>
      </c>
      <c r="C102" s="6" t="s">
        <v>128</v>
      </c>
      <c r="D102" s="6">
        <v>50</v>
      </c>
      <c r="E102" s="15">
        <v>16.666666666666668</v>
      </c>
      <c r="F102" s="10">
        <v>12</v>
      </c>
      <c r="G102" s="10">
        <v>18</v>
      </c>
      <c r="H102" s="8">
        <v>12</v>
      </c>
      <c r="I102" s="8">
        <v>18</v>
      </c>
      <c r="J102" s="10">
        <v>1</v>
      </c>
      <c r="K102" s="10">
        <v>7</v>
      </c>
      <c r="L102" s="10">
        <v>13</v>
      </c>
      <c r="M102" s="10">
        <v>19</v>
      </c>
      <c r="N102" s="14" t="s">
        <v>129</v>
      </c>
      <c r="O102" s="13">
        <v>1</v>
      </c>
      <c r="P102" s="14">
        <v>45</v>
      </c>
      <c r="Q102" s="14">
        <v>11</v>
      </c>
      <c r="R102" s="14">
        <f t="shared" si="6"/>
        <v>56</v>
      </c>
      <c r="S102" s="14" t="str">
        <f t="shared" si="9"/>
        <v>Stock Available</v>
      </c>
    </row>
    <row r="103" spans="2:19" x14ac:dyDescent="0.3">
      <c r="B103" s="6" t="s">
        <v>133</v>
      </c>
      <c r="C103" s="6" t="s">
        <v>128</v>
      </c>
      <c r="D103" s="6">
        <v>52</v>
      </c>
      <c r="E103" s="15">
        <v>17.333333333333332</v>
      </c>
      <c r="F103" s="10">
        <v>17</v>
      </c>
      <c r="G103" s="10">
        <v>23</v>
      </c>
      <c r="H103" s="8">
        <v>17</v>
      </c>
      <c r="I103" s="8">
        <v>23</v>
      </c>
      <c r="J103" s="10">
        <v>1</v>
      </c>
      <c r="K103" s="10">
        <v>7</v>
      </c>
      <c r="L103" s="10">
        <v>18</v>
      </c>
      <c r="M103" s="10">
        <v>24</v>
      </c>
      <c r="N103" s="14" t="s">
        <v>134</v>
      </c>
      <c r="O103" s="13">
        <v>1</v>
      </c>
      <c r="P103" s="14">
        <v>33</v>
      </c>
      <c r="Q103" s="14">
        <v>65</v>
      </c>
      <c r="R103" s="14">
        <f t="shared" si="6"/>
        <v>98</v>
      </c>
      <c r="S103" s="14" t="str">
        <f t="shared" si="9"/>
        <v>Stock Available</v>
      </c>
    </row>
    <row r="104" spans="2:19" x14ac:dyDescent="0.3">
      <c r="B104" s="6" t="s">
        <v>135</v>
      </c>
      <c r="C104" s="6" t="s">
        <v>128</v>
      </c>
      <c r="D104" s="6">
        <v>22</v>
      </c>
      <c r="E104" s="15">
        <v>7.333333333333333</v>
      </c>
      <c r="F104" s="10">
        <v>6</v>
      </c>
      <c r="G104" s="10">
        <v>8</v>
      </c>
      <c r="H104" s="8">
        <v>6</v>
      </c>
      <c r="I104" s="8">
        <v>8</v>
      </c>
      <c r="J104" s="10">
        <v>0</v>
      </c>
      <c r="K104" s="10">
        <v>2</v>
      </c>
      <c r="L104" s="10">
        <v>6</v>
      </c>
      <c r="M104" s="10">
        <v>8</v>
      </c>
      <c r="N104" s="14" t="s">
        <v>134</v>
      </c>
      <c r="O104" s="13">
        <v>1</v>
      </c>
      <c r="P104" s="14">
        <v>18</v>
      </c>
      <c r="Q104" s="14">
        <v>77</v>
      </c>
      <c r="R104" s="14">
        <f t="shared" si="6"/>
        <v>95</v>
      </c>
      <c r="S104" s="14" t="str">
        <f t="shared" si="9"/>
        <v>Stock Available</v>
      </c>
    </row>
    <row r="105" spans="2:19" x14ac:dyDescent="0.3">
      <c r="B105" s="6" t="s">
        <v>136</v>
      </c>
      <c r="C105" s="6" t="s">
        <v>128</v>
      </c>
      <c r="D105" s="6">
        <v>963</v>
      </c>
      <c r="E105" s="15">
        <v>189.33333333333334</v>
      </c>
      <c r="F105" s="10">
        <v>27</v>
      </c>
      <c r="G105" s="10">
        <v>91</v>
      </c>
      <c r="H105" s="8">
        <v>25</v>
      </c>
      <c r="I105" s="8">
        <v>89</v>
      </c>
      <c r="J105" s="10">
        <v>10</v>
      </c>
      <c r="K105" s="10">
        <v>74</v>
      </c>
      <c r="L105" s="10">
        <v>35</v>
      </c>
      <c r="M105" s="10">
        <v>99</v>
      </c>
      <c r="N105" s="14" t="s">
        <v>134</v>
      </c>
      <c r="O105" s="13">
        <v>1</v>
      </c>
      <c r="P105" s="14">
        <v>55</v>
      </c>
      <c r="Q105" s="14">
        <v>34</v>
      </c>
      <c r="R105" s="14">
        <f t="shared" si="6"/>
        <v>89</v>
      </c>
      <c r="S105" s="14" t="str">
        <f t="shared" si="9"/>
        <v>Refill</v>
      </c>
    </row>
    <row r="106" spans="2:19" x14ac:dyDescent="0.3">
      <c r="B106" s="6" t="s">
        <v>137</v>
      </c>
      <c r="C106" s="6" t="s">
        <v>128</v>
      </c>
      <c r="D106" s="6">
        <v>1197</v>
      </c>
      <c r="E106" s="15">
        <v>399</v>
      </c>
      <c r="F106" s="10">
        <v>119</v>
      </c>
      <c r="G106" s="10">
        <v>254</v>
      </c>
      <c r="H106" s="8">
        <v>117</v>
      </c>
      <c r="I106" s="8">
        <v>252</v>
      </c>
      <c r="J106" s="10">
        <v>20</v>
      </c>
      <c r="K106" s="10">
        <v>155</v>
      </c>
      <c r="L106" s="10">
        <v>137</v>
      </c>
      <c r="M106" s="10">
        <v>272</v>
      </c>
      <c r="N106" s="14" t="s">
        <v>134</v>
      </c>
      <c r="O106" s="13">
        <v>1</v>
      </c>
      <c r="P106" s="14">
        <v>150</v>
      </c>
      <c r="Q106" s="14">
        <v>88</v>
      </c>
      <c r="R106" s="14">
        <f t="shared" si="6"/>
        <v>238</v>
      </c>
      <c r="S106" s="14" t="str">
        <f t="shared" si="9"/>
        <v>Refill</v>
      </c>
    </row>
    <row r="107" spans="2:19" x14ac:dyDescent="0.3">
      <c r="B107" s="6" t="s">
        <v>138</v>
      </c>
      <c r="C107" s="6" t="s">
        <v>128</v>
      </c>
      <c r="D107" s="6">
        <v>1065</v>
      </c>
      <c r="E107" s="15">
        <v>289.66666666666669</v>
      </c>
      <c r="F107" s="10">
        <v>45</v>
      </c>
      <c r="G107" s="10">
        <v>143</v>
      </c>
      <c r="H107" s="8">
        <v>43</v>
      </c>
      <c r="I107" s="8">
        <v>141</v>
      </c>
      <c r="J107" s="10">
        <v>15</v>
      </c>
      <c r="K107" s="10">
        <v>113</v>
      </c>
      <c r="L107" s="10">
        <v>57</v>
      </c>
      <c r="M107" s="10">
        <v>155</v>
      </c>
      <c r="N107" s="14" t="s">
        <v>134</v>
      </c>
      <c r="O107" s="13">
        <v>1</v>
      </c>
      <c r="P107" s="14">
        <v>33</v>
      </c>
      <c r="Q107" s="14">
        <v>120</v>
      </c>
      <c r="R107" s="14">
        <f t="shared" si="6"/>
        <v>153</v>
      </c>
      <c r="S107" s="14" t="str">
        <f t="shared" si="9"/>
        <v>Refill</v>
      </c>
    </row>
    <row r="108" spans="2:19" x14ac:dyDescent="0.3">
      <c r="B108" s="6" t="s">
        <v>139</v>
      </c>
      <c r="C108" s="6" t="s">
        <v>128</v>
      </c>
      <c r="D108" s="6">
        <v>633</v>
      </c>
      <c r="E108" s="15">
        <v>211</v>
      </c>
      <c r="F108" s="10">
        <v>49</v>
      </c>
      <c r="G108" s="10">
        <v>120</v>
      </c>
      <c r="H108" s="8">
        <v>48</v>
      </c>
      <c r="I108" s="8">
        <v>119</v>
      </c>
      <c r="J108" s="10">
        <v>11</v>
      </c>
      <c r="K108" s="10">
        <v>82</v>
      </c>
      <c r="L108" s="10">
        <v>59</v>
      </c>
      <c r="M108" s="10">
        <v>130</v>
      </c>
      <c r="N108" s="14" t="s">
        <v>134</v>
      </c>
      <c r="O108" s="13">
        <v>1</v>
      </c>
      <c r="P108" s="14">
        <v>21</v>
      </c>
      <c r="Q108" s="14">
        <v>120</v>
      </c>
      <c r="R108" s="14">
        <f t="shared" si="6"/>
        <v>141</v>
      </c>
      <c r="S108" s="14" t="str">
        <f t="shared" si="9"/>
        <v>Stock Available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FA5A-BF69-4FA8-8AEA-D5458A047A38}">
  <dimension ref="A1:I106"/>
  <sheetViews>
    <sheetView workbookViewId="0">
      <selection activeCell="J1" sqref="J1"/>
    </sheetView>
  </sheetViews>
  <sheetFormatPr defaultRowHeight="14.4" x14ac:dyDescent="0.3"/>
  <cols>
    <col min="1" max="1" width="23.21875" bestFit="1" customWidth="1"/>
    <col min="2" max="2" width="17.21875" bestFit="1" customWidth="1"/>
    <col min="3" max="3" width="8.21875" bestFit="1" customWidth="1"/>
    <col min="4" max="4" width="8.44140625" bestFit="1" customWidth="1"/>
    <col min="5" max="5" width="16.77734375" customWidth="1"/>
    <col min="6" max="6" width="14.44140625" customWidth="1"/>
    <col min="7" max="7" width="9.5546875" bestFit="1" customWidth="1"/>
    <col min="9" max="9" width="10.33203125" customWidth="1"/>
  </cols>
  <sheetData>
    <row r="1" spans="1:9" ht="46.8" x14ac:dyDescent="0.3">
      <c r="A1" s="3" t="s">
        <v>4</v>
      </c>
      <c r="B1" s="3" t="s">
        <v>5</v>
      </c>
      <c r="C1" s="3" t="s">
        <v>6</v>
      </c>
      <c r="D1" s="3" t="s">
        <v>7</v>
      </c>
      <c r="E1" s="4" t="s">
        <v>146</v>
      </c>
      <c r="F1" s="4" t="s">
        <v>9</v>
      </c>
      <c r="G1" s="27" t="s">
        <v>147</v>
      </c>
      <c r="H1" s="27" t="s">
        <v>148</v>
      </c>
      <c r="I1" s="27" t="s">
        <v>149</v>
      </c>
    </row>
    <row r="2" spans="1:9" x14ac:dyDescent="0.3">
      <c r="A2" s="6" t="s">
        <v>20</v>
      </c>
      <c r="B2" s="6" t="s">
        <v>21</v>
      </c>
      <c r="C2" s="6">
        <v>495</v>
      </c>
      <c r="D2" s="7">
        <v>89</v>
      </c>
      <c r="E2" s="8">
        <v>23</v>
      </c>
      <c r="F2" s="9">
        <v>53</v>
      </c>
      <c r="G2" s="28">
        <v>71.952662721893489</v>
      </c>
      <c r="H2">
        <f>SUM(E2:F2)</f>
        <v>76</v>
      </c>
      <c r="I2" s="29">
        <f>(H2-G2)/G2</f>
        <v>5.6250000000000029E-2</v>
      </c>
    </row>
    <row r="3" spans="1:9" x14ac:dyDescent="0.3">
      <c r="A3" s="6" t="s">
        <v>23</v>
      </c>
      <c r="B3" s="6" t="s">
        <v>21</v>
      </c>
      <c r="C3" s="6">
        <v>7875</v>
      </c>
      <c r="D3" s="7">
        <v>1547</v>
      </c>
      <c r="E3" s="8">
        <v>96</v>
      </c>
      <c r="F3" s="9">
        <v>620</v>
      </c>
      <c r="G3" s="28">
        <v>966.30177514792888</v>
      </c>
      <c r="H3">
        <f t="shared" ref="H3:H66" si="0">SUM(E3:F3)</f>
        <v>716</v>
      </c>
      <c r="I3" s="29">
        <f t="shared" ref="I3:I66" si="1">(H3-G3)/G3</f>
        <v>-0.25903064817366267</v>
      </c>
    </row>
    <row r="4" spans="1:9" x14ac:dyDescent="0.3">
      <c r="A4" s="6" t="s">
        <v>24</v>
      </c>
      <c r="B4" s="6" t="s">
        <v>21</v>
      </c>
      <c r="C4" s="6">
        <v>239</v>
      </c>
      <c r="D4" s="7">
        <v>37</v>
      </c>
      <c r="E4" s="8">
        <v>4</v>
      </c>
      <c r="F4" s="9">
        <v>17</v>
      </c>
      <c r="G4" s="28">
        <v>21.360946745562124</v>
      </c>
      <c r="H4">
        <f t="shared" si="0"/>
        <v>21</v>
      </c>
      <c r="I4" s="29">
        <f t="shared" si="1"/>
        <v>-1.6897506925207483E-2</v>
      </c>
    </row>
    <row r="5" spans="1:9" x14ac:dyDescent="0.3">
      <c r="A5" s="6" t="s">
        <v>25</v>
      </c>
      <c r="B5" s="6" t="s">
        <v>21</v>
      </c>
      <c r="C5" s="6">
        <v>4363</v>
      </c>
      <c r="D5" s="7">
        <v>767</v>
      </c>
      <c r="E5" s="8">
        <v>110</v>
      </c>
      <c r="F5" s="9">
        <v>369</v>
      </c>
      <c r="G5" s="28">
        <v>547.51479289940823</v>
      </c>
      <c r="H5">
        <f t="shared" si="0"/>
        <v>479</v>
      </c>
      <c r="I5" s="29">
        <f t="shared" si="1"/>
        <v>-0.12513779314816809</v>
      </c>
    </row>
    <row r="6" spans="1:9" x14ac:dyDescent="0.3">
      <c r="A6" s="6" t="s">
        <v>26</v>
      </c>
      <c r="B6" s="6" t="s">
        <v>21</v>
      </c>
      <c r="C6" s="6">
        <v>622</v>
      </c>
      <c r="D6" s="7">
        <v>106</v>
      </c>
      <c r="E6" s="8">
        <v>13</v>
      </c>
      <c r="F6" s="9">
        <v>49</v>
      </c>
      <c r="G6" s="28">
        <v>64.644970414201183</v>
      </c>
      <c r="H6">
        <f t="shared" si="0"/>
        <v>62</v>
      </c>
      <c r="I6" s="29">
        <f t="shared" si="1"/>
        <v>-4.0915331807780307E-2</v>
      </c>
    </row>
    <row r="7" spans="1:9" x14ac:dyDescent="0.3">
      <c r="A7" s="6" t="s">
        <v>27</v>
      </c>
      <c r="B7" s="6" t="s">
        <v>21</v>
      </c>
      <c r="C7" s="6">
        <v>5536</v>
      </c>
      <c r="D7" s="7">
        <v>998</v>
      </c>
      <c r="E7" s="8">
        <v>87</v>
      </c>
      <c r="F7" s="9">
        <v>425</v>
      </c>
      <c r="G7" s="28">
        <v>679.05325443786978</v>
      </c>
      <c r="H7">
        <f t="shared" si="0"/>
        <v>512</v>
      </c>
      <c r="I7" s="29">
        <f t="shared" si="1"/>
        <v>-0.24600906239107698</v>
      </c>
    </row>
    <row r="8" spans="1:9" x14ac:dyDescent="0.3">
      <c r="A8" s="6" t="s">
        <v>28</v>
      </c>
      <c r="B8" s="6" t="s">
        <v>21</v>
      </c>
      <c r="C8" s="6">
        <v>744</v>
      </c>
      <c r="D8" s="7">
        <v>123</v>
      </c>
      <c r="E8" s="8">
        <v>24</v>
      </c>
      <c r="F8" s="9">
        <v>66</v>
      </c>
      <c r="G8" s="28">
        <v>93.31360946745562</v>
      </c>
      <c r="H8">
        <f t="shared" si="0"/>
        <v>90</v>
      </c>
      <c r="I8" s="29">
        <f t="shared" si="1"/>
        <v>-3.5510462904248564E-2</v>
      </c>
    </row>
    <row r="9" spans="1:9" x14ac:dyDescent="0.3">
      <c r="A9" s="6" t="s">
        <v>29</v>
      </c>
      <c r="B9" s="6" t="s">
        <v>21</v>
      </c>
      <c r="C9" s="6">
        <v>316</v>
      </c>
      <c r="D9" s="7">
        <v>56</v>
      </c>
      <c r="E9" s="8">
        <v>4</v>
      </c>
      <c r="F9" s="9">
        <v>23</v>
      </c>
      <c r="G9" s="28">
        <v>42.159763313609474</v>
      </c>
      <c r="H9">
        <f t="shared" si="0"/>
        <v>27</v>
      </c>
      <c r="I9" s="29">
        <f t="shared" si="1"/>
        <v>-0.35957894736842116</v>
      </c>
    </row>
    <row r="10" spans="1:9" x14ac:dyDescent="0.3">
      <c r="A10" s="6" t="s">
        <v>30</v>
      </c>
      <c r="B10" s="6" t="s">
        <v>21</v>
      </c>
      <c r="C10" s="6">
        <v>4735</v>
      </c>
      <c r="D10" s="7">
        <v>788</v>
      </c>
      <c r="E10" s="8">
        <v>113</v>
      </c>
      <c r="F10" s="9">
        <v>380</v>
      </c>
      <c r="G10" s="28">
        <v>571.68639053254435</v>
      </c>
      <c r="H10">
        <f t="shared" si="0"/>
        <v>493</v>
      </c>
      <c r="I10" s="29">
        <f t="shared" si="1"/>
        <v>-0.13763908295813276</v>
      </c>
    </row>
    <row r="11" spans="1:9" x14ac:dyDescent="0.3">
      <c r="A11" s="6" t="s">
        <v>31</v>
      </c>
      <c r="B11" s="6" t="s">
        <v>21</v>
      </c>
      <c r="C11" s="6">
        <v>692</v>
      </c>
      <c r="D11" s="7">
        <v>107</v>
      </c>
      <c r="E11" s="8">
        <v>9</v>
      </c>
      <c r="F11" s="9">
        <v>45</v>
      </c>
      <c r="G11" s="28">
        <v>73.639053254437869</v>
      </c>
      <c r="H11">
        <f t="shared" si="0"/>
        <v>54</v>
      </c>
      <c r="I11" s="29">
        <f t="shared" si="1"/>
        <v>-0.26669345118521492</v>
      </c>
    </row>
    <row r="12" spans="1:9" x14ac:dyDescent="0.3">
      <c r="A12" s="6" t="s">
        <v>32</v>
      </c>
      <c r="B12" s="6" t="s">
        <v>21</v>
      </c>
      <c r="C12" s="6">
        <v>502</v>
      </c>
      <c r="D12" s="7">
        <v>94</v>
      </c>
      <c r="E12" s="8">
        <v>9</v>
      </c>
      <c r="F12" s="9">
        <v>41</v>
      </c>
      <c r="G12" s="28">
        <v>65.207100591715971</v>
      </c>
      <c r="H12">
        <f t="shared" si="0"/>
        <v>50</v>
      </c>
      <c r="I12" s="29">
        <f t="shared" si="1"/>
        <v>-0.23321234119782208</v>
      </c>
    </row>
    <row r="13" spans="1:9" x14ac:dyDescent="0.3">
      <c r="A13" s="6" t="s">
        <v>33</v>
      </c>
      <c r="B13" s="6" t="s">
        <v>21</v>
      </c>
      <c r="C13" s="6">
        <v>6503</v>
      </c>
      <c r="D13" s="7">
        <v>1105</v>
      </c>
      <c r="E13" s="8">
        <v>100</v>
      </c>
      <c r="F13" s="9">
        <v>474</v>
      </c>
      <c r="G13" s="28">
        <v>863.99408284023662</v>
      </c>
      <c r="H13">
        <f t="shared" si="0"/>
        <v>574</v>
      </c>
      <c r="I13" s="29">
        <f t="shared" si="1"/>
        <v>-0.33564359826045265</v>
      </c>
    </row>
    <row r="14" spans="1:9" x14ac:dyDescent="0.3">
      <c r="A14" s="6" t="s">
        <v>34</v>
      </c>
      <c r="B14" s="6" t="s">
        <v>21</v>
      </c>
      <c r="C14" s="6">
        <v>832</v>
      </c>
      <c r="D14" s="7">
        <v>133</v>
      </c>
      <c r="E14" s="8">
        <v>21</v>
      </c>
      <c r="F14" s="9">
        <v>66</v>
      </c>
      <c r="G14" s="28">
        <v>132.10059171597632</v>
      </c>
      <c r="H14">
        <f t="shared" si="0"/>
        <v>87</v>
      </c>
      <c r="I14" s="29">
        <f t="shared" si="1"/>
        <v>-0.34141097424412087</v>
      </c>
    </row>
    <row r="15" spans="1:9" x14ac:dyDescent="0.3">
      <c r="A15" s="6" t="s">
        <v>35</v>
      </c>
      <c r="B15" s="6" t="s">
        <v>21</v>
      </c>
      <c r="C15" s="6">
        <v>4188</v>
      </c>
      <c r="D15" s="7">
        <v>672</v>
      </c>
      <c r="E15" s="8">
        <v>141</v>
      </c>
      <c r="F15" s="9">
        <v>369</v>
      </c>
      <c r="G15" s="28">
        <v>534.58579881656806</v>
      </c>
      <c r="H15">
        <f t="shared" si="0"/>
        <v>510</v>
      </c>
      <c r="I15" s="29">
        <f t="shared" si="1"/>
        <v>-4.5990370247385046E-2</v>
      </c>
    </row>
    <row r="16" spans="1:9" x14ac:dyDescent="0.3">
      <c r="A16" s="6" t="s">
        <v>36</v>
      </c>
      <c r="B16" s="6" t="s">
        <v>21</v>
      </c>
      <c r="C16" s="6">
        <v>4088</v>
      </c>
      <c r="D16" s="7">
        <v>699</v>
      </c>
      <c r="E16" s="8">
        <v>92</v>
      </c>
      <c r="F16" s="9">
        <v>328</v>
      </c>
      <c r="G16" s="28">
        <v>440.71005917159761</v>
      </c>
      <c r="H16">
        <f t="shared" si="0"/>
        <v>420</v>
      </c>
      <c r="I16" s="29">
        <f t="shared" si="1"/>
        <v>-4.6992481203007461E-2</v>
      </c>
    </row>
    <row r="17" spans="1:9" x14ac:dyDescent="0.3">
      <c r="A17" s="6" t="s">
        <v>37</v>
      </c>
      <c r="B17" s="6" t="s">
        <v>21</v>
      </c>
      <c r="C17" s="6">
        <v>2367</v>
      </c>
      <c r="D17" s="7">
        <v>384</v>
      </c>
      <c r="E17" s="8">
        <v>106</v>
      </c>
      <c r="F17" s="9">
        <v>236</v>
      </c>
      <c r="G17" s="28">
        <v>337.27810650887579</v>
      </c>
      <c r="H17">
        <f t="shared" si="0"/>
        <v>342</v>
      </c>
      <c r="I17" s="29">
        <f t="shared" si="1"/>
        <v>1.3999999999999835E-2</v>
      </c>
    </row>
    <row r="18" spans="1:9" x14ac:dyDescent="0.3">
      <c r="A18" s="6" t="s">
        <v>38</v>
      </c>
      <c r="B18" s="6" t="s">
        <v>21</v>
      </c>
      <c r="C18" s="6">
        <v>763</v>
      </c>
      <c r="D18" s="7">
        <v>141</v>
      </c>
      <c r="E18" s="8">
        <v>34</v>
      </c>
      <c r="F18" s="9">
        <v>82</v>
      </c>
      <c r="G18" s="28">
        <v>91.065088757396467</v>
      </c>
      <c r="H18">
        <f t="shared" si="0"/>
        <v>116</v>
      </c>
      <c r="I18" s="29">
        <f t="shared" si="1"/>
        <v>0.27381416504223499</v>
      </c>
    </row>
    <row r="19" spans="1:9" x14ac:dyDescent="0.3">
      <c r="A19" s="6" t="s">
        <v>39</v>
      </c>
      <c r="B19" s="6" t="s">
        <v>21</v>
      </c>
      <c r="C19" s="6">
        <v>2367</v>
      </c>
      <c r="D19" s="7">
        <v>355</v>
      </c>
      <c r="E19" s="8">
        <v>20</v>
      </c>
      <c r="F19" s="9">
        <v>140</v>
      </c>
      <c r="G19" s="28">
        <v>338.96449704142015</v>
      </c>
      <c r="H19">
        <f t="shared" si="0"/>
        <v>160</v>
      </c>
      <c r="I19" s="29">
        <f t="shared" si="1"/>
        <v>-0.52797416426638744</v>
      </c>
    </row>
    <row r="20" spans="1:9" x14ac:dyDescent="0.3">
      <c r="A20" s="6" t="s">
        <v>40</v>
      </c>
      <c r="B20" s="6" t="s">
        <v>21</v>
      </c>
      <c r="C20" s="6">
        <v>792</v>
      </c>
      <c r="D20" s="7">
        <v>130</v>
      </c>
      <c r="E20" s="8">
        <v>44</v>
      </c>
      <c r="F20" s="9">
        <v>88</v>
      </c>
      <c r="G20" s="28">
        <v>83.195266272189357</v>
      </c>
      <c r="H20">
        <f t="shared" si="0"/>
        <v>132</v>
      </c>
      <c r="I20" s="29">
        <f t="shared" si="1"/>
        <v>0.58662873399715487</v>
      </c>
    </row>
    <row r="21" spans="1:9" x14ac:dyDescent="0.3">
      <c r="A21" s="6" t="s">
        <v>41</v>
      </c>
      <c r="B21" s="6" t="s">
        <v>21</v>
      </c>
      <c r="C21" s="6">
        <v>4929</v>
      </c>
      <c r="D21" s="7">
        <v>848</v>
      </c>
      <c r="E21" s="8">
        <v>78</v>
      </c>
      <c r="F21" s="9">
        <v>365</v>
      </c>
      <c r="G21" s="28">
        <v>678.49112426035504</v>
      </c>
      <c r="H21">
        <f t="shared" si="0"/>
        <v>443</v>
      </c>
      <c r="I21" s="29">
        <f t="shared" si="1"/>
        <v>-0.34708062617189206</v>
      </c>
    </row>
    <row r="22" spans="1:9" x14ac:dyDescent="0.3">
      <c r="A22" s="6" t="s">
        <v>42</v>
      </c>
      <c r="B22" s="6" t="s">
        <v>21</v>
      </c>
      <c r="C22" s="6">
        <v>2776</v>
      </c>
      <c r="D22" s="7">
        <v>362</v>
      </c>
      <c r="E22" s="8">
        <v>41</v>
      </c>
      <c r="F22" s="9">
        <v>164</v>
      </c>
      <c r="G22" s="28">
        <v>291.18343195266272</v>
      </c>
      <c r="H22">
        <f t="shared" si="0"/>
        <v>205</v>
      </c>
      <c r="I22" s="29">
        <f t="shared" si="1"/>
        <v>-0.2959764275553749</v>
      </c>
    </row>
    <row r="23" spans="1:9" x14ac:dyDescent="0.3">
      <c r="A23" s="6" t="s">
        <v>43</v>
      </c>
      <c r="B23" s="6" t="s">
        <v>21</v>
      </c>
      <c r="C23" s="6">
        <v>360</v>
      </c>
      <c r="D23" s="7">
        <v>41</v>
      </c>
      <c r="E23" s="8">
        <v>12</v>
      </c>
      <c r="F23" s="9">
        <v>26</v>
      </c>
      <c r="G23" s="28">
        <v>0</v>
      </c>
      <c r="H23">
        <f t="shared" si="0"/>
        <v>38</v>
      </c>
      <c r="I23" s="29">
        <v>0</v>
      </c>
    </row>
    <row r="24" spans="1:9" x14ac:dyDescent="0.3">
      <c r="A24" s="6" t="s">
        <v>44</v>
      </c>
      <c r="B24" s="6" t="s">
        <v>21</v>
      </c>
      <c r="C24" s="6">
        <v>1940</v>
      </c>
      <c r="D24" s="7">
        <v>301</v>
      </c>
      <c r="E24" s="8">
        <v>62</v>
      </c>
      <c r="F24" s="9">
        <v>164</v>
      </c>
      <c r="G24" s="28">
        <v>230.47337278106511</v>
      </c>
      <c r="H24">
        <f t="shared" si="0"/>
        <v>226</v>
      </c>
      <c r="I24" s="29">
        <f t="shared" si="1"/>
        <v>-1.9409499358151561E-2</v>
      </c>
    </row>
    <row r="25" spans="1:9" x14ac:dyDescent="0.3">
      <c r="A25" s="6" t="s">
        <v>45</v>
      </c>
      <c r="B25" s="6" t="s">
        <v>46</v>
      </c>
      <c r="C25" s="6">
        <v>2201</v>
      </c>
      <c r="D25" s="15">
        <v>324.33333333333331</v>
      </c>
      <c r="E25" s="8">
        <v>34</v>
      </c>
      <c r="F25" s="8">
        <v>144</v>
      </c>
      <c r="G25" s="28">
        <v>185.50295857988164</v>
      </c>
      <c r="H25">
        <f t="shared" si="0"/>
        <v>178</v>
      </c>
      <c r="I25" s="29">
        <f t="shared" si="1"/>
        <v>-4.0446570972886654E-2</v>
      </c>
    </row>
    <row r="26" spans="1:9" x14ac:dyDescent="0.3">
      <c r="A26" s="6" t="s">
        <v>48</v>
      </c>
      <c r="B26" s="6" t="s">
        <v>46</v>
      </c>
      <c r="C26" s="6">
        <v>1992</v>
      </c>
      <c r="D26" s="15">
        <v>337.66666666666669</v>
      </c>
      <c r="E26" s="8">
        <v>57</v>
      </c>
      <c r="F26" s="8">
        <v>171</v>
      </c>
      <c r="G26" s="28">
        <v>245.08875739644969</v>
      </c>
      <c r="H26">
        <f t="shared" si="0"/>
        <v>228</v>
      </c>
      <c r="I26" s="29">
        <f t="shared" si="1"/>
        <v>-6.9724770642201797E-2</v>
      </c>
    </row>
    <row r="27" spans="1:9" x14ac:dyDescent="0.3">
      <c r="A27" s="6" t="s">
        <v>49</v>
      </c>
      <c r="B27" s="6" t="s">
        <v>46</v>
      </c>
      <c r="C27" s="6">
        <v>2059</v>
      </c>
      <c r="D27" s="15">
        <v>319.33333333333331</v>
      </c>
      <c r="E27" s="8">
        <v>17</v>
      </c>
      <c r="F27" s="8">
        <v>125</v>
      </c>
      <c r="G27" s="28">
        <v>249.58579881656803</v>
      </c>
      <c r="H27">
        <f t="shared" si="0"/>
        <v>142</v>
      </c>
      <c r="I27" s="29">
        <f t="shared" si="1"/>
        <v>-0.43105737316263626</v>
      </c>
    </row>
    <row r="28" spans="1:9" x14ac:dyDescent="0.3">
      <c r="A28" s="6" t="s">
        <v>50</v>
      </c>
      <c r="B28" s="6" t="s">
        <v>46</v>
      </c>
      <c r="C28" s="6">
        <v>5127</v>
      </c>
      <c r="D28" s="15">
        <v>871.33333333333337</v>
      </c>
      <c r="E28" s="8">
        <v>107</v>
      </c>
      <c r="F28" s="8">
        <v>402</v>
      </c>
      <c r="G28" s="28">
        <v>587.4260355029586</v>
      </c>
      <c r="H28">
        <f t="shared" si="0"/>
        <v>509</v>
      </c>
      <c r="I28" s="29">
        <f t="shared" si="1"/>
        <v>-0.13350793251070261</v>
      </c>
    </row>
    <row r="29" spans="1:9" x14ac:dyDescent="0.3">
      <c r="A29" s="6" t="s">
        <v>51</v>
      </c>
      <c r="B29" s="6" t="s">
        <v>46</v>
      </c>
      <c r="C29" s="6">
        <v>1345</v>
      </c>
      <c r="D29" s="15">
        <v>200.33333333333334</v>
      </c>
      <c r="E29" s="8">
        <v>44</v>
      </c>
      <c r="F29" s="8">
        <v>112</v>
      </c>
      <c r="G29" s="28">
        <v>155.71005917159763</v>
      </c>
      <c r="H29">
        <f t="shared" si="0"/>
        <v>156</v>
      </c>
      <c r="I29" s="29">
        <f t="shared" si="1"/>
        <v>1.8620558616758384E-3</v>
      </c>
    </row>
    <row r="30" spans="1:9" x14ac:dyDescent="0.3">
      <c r="A30" s="6" t="s">
        <v>52</v>
      </c>
      <c r="B30" s="6" t="s">
        <v>53</v>
      </c>
      <c r="C30" s="6">
        <v>300</v>
      </c>
      <c r="D30" s="15">
        <v>52.666666666666664</v>
      </c>
      <c r="E30" s="8">
        <v>11</v>
      </c>
      <c r="F30" s="8">
        <v>29</v>
      </c>
      <c r="G30" s="28">
        <v>0</v>
      </c>
      <c r="H30">
        <f t="shared" si="0"/>
        <v>40</v>
      </c>
      <c r="I30" s="29">
        <v>0</v>
      </c>
    </row>
    <row r="31" spans="1:9" x14ac:dyDescent="0.3">
      <c r="A31" s="6" t="s">
        <v>54</v>
      </c>
      <c r="B31" s="6" t="s">
        <v>53</v>
      </c>
      <c r="C31" s="6">
        <v>2811</v>
      </c>
      <c r="D31" s="15">
        <v>503.33333333333331</v>
      </c>
      <c r="E31" s="8">
        <v>80</v>
      </c>
      <c r="F31" s="8">
        <v>250</v>
      </c>
      <c r="G31" s="28">
        <v>307.48520710059171</v>
      </c>
      <c r="H31">
        <f t="shared" si="0"/>
        <v>330</v>
      </c>
      <c r="I31" s="29">
        <f t="shared" si="1"/>
        <v>7.3222361204657013E-2</v>
      </c>
    </row>
    <row r="32" spans="1:9" x14ac:dyDescent="0.3">
      <c r="A32" s="6" t="s">
        <v>55</v>
      </c>
      <c r="B32" s="6" t="s">
        <v>53</v>
      </c>
      <c r="C32" s="6">
        <v>890</v>
      </c>
      <c r="D32" s="15">
        <v>178.66666666666666</v>
      </c>
      <c r="E32" s="8">
        <v>78</v>
      </c>
      <c r="F32" s="8">
        <v>138</v>
      </c>
      <c r="G32" s="28">
        <v>119.73372781065088</v>
      </c>
      <c r="H32">
        <f t="shared" si="0"/>
        <v>216</v>
      </c>
      <c r="I32" s="29">
        <f t="shared" si="1"/>
        <v>0.80400296515937753</v>
      </c>
    </row>
    <row r="33" spans="1:9" x14ac:dyDescent="0.3">
      <c r="A33" s="6" t="s">
        <v>56</v>
      </c>
      <c r="B33" s="6" t="s">
        <v>53</v>
      </c>
      <c r="C33" s="6">
        <v>1833</v>
      </c>
      <c r="D33" s="15">
        <v>308.33333333333331</v>
      </c>
      <c r="E33" s="8">
        <v>24</v>
      </c>
      <c r="F33" s="8">
        <v>128</v>
      </c>
      <c r="G33" s="28">
        <v>312.54437869822482</v>
      </c>
      <c r="H33">
        <f t="shared" si="0"/>
        <v>152</v>
      </c>
      <c r="I33" s="29">
        <f t="shared" si="1"/>
        <v>-0.5136690647482014</v>
      </c>
    </row>
    <row r="34" spans="1:9" x14ac:dyDescent="0.3">
      <c r="A34" s="6" t="s">
        <v>57</v>
      </c>
      <c r="B34" s="6" t="s">
        <v>53</v>
      </c>
      <c r="C34" s="6">
        <v>2048</v>
      </c>
      <c r="D34" s="15">
        <v>300.33333333333331</v>
      </c>
      <c r="E34" s="8">
        <v>40</v>
      </c>
      <c r="F34" s="8">
        <v>142</v>
      </c>
      <c r="G34" s="28">
        <v>232.15976331360949</v>
      </c>
      <c r="H34">
        <f t="shared" si="0"/>
        <v>182</v>
      </c>
      <c r="I34" s="29">
        <f t="shared" si="1"/>
        <v>-0.21605709188224806</v>
      </c>
    </row>
    <row r="35" spans="1:9" x14ac:dyDescent="0.3">
      <c r="A35" s="6" t="s">
        <v>58</v>
      </c>
      <c r="B35" s="6" t="s">
        <v>53</v>
      </c>
      <c r="C35" s="6">
        <v>1176</v>
      </c>
      <c r="D35" s="15">
        <v>160.66666666666666</v>
      </c>
      <c r="E35" s="8">
        <v>18</v>
      </c>
      <c r="F35" s="8">
        <v>72</v>
      </c>
      <c r="G35" s="28">
        <v>146.71597633136093</v>
      </c>
      <c r="H35">
        <f t="shared" si="0"/>
        <v>90</v>
      </c>
      <c r="I35" s="29">
        <f t="shared" si="1"/>
        <v>-0.38656987295825768</v>
      </c>
    </row>
    <row r="36" spans="1:9" x14ac:dyDescent="0.3">
      <c r="A36" s="6" t="s">
        <v>59</v>
      </c>
      <c r="B36" s="6" t="s">
        <v>53</v>
      </c>
      <c r="C36" s="6">
        <v>2533</v>
      </c>
      <c r="D36" s="15">
        <v>425.66666666666669</v>
      </c>
      <c r="E36" s="8">
        <v>59</v>
      </c>
      <c r="F36" s="8">
        <v>203</v>
      </c>
      <c r="G36" s="28">
        <v>367.63313609467451</v>
      </c>
      <c r="H36">
        <f t="shared" si="0"/>
        <v>262</v>
      </c>
      <c r="I36" s="29">
        <f t="shared" si="1"/>
        <v>-0.28733301142765161</v>
      </c>
    </row>
    <row r="37" spans="1:9" x14ac:dyDescent="0.3">
      <c r="A37" s="6" t="s">
        <v>60</v>
      </c>
      <c r="B37" s="6" t="s">
        <v>53</v>
      </c>
      <c r="C37" s="6">
        <v>3222</v>
      </c>
      <c r="D37" s="15">
        <v>554.66666666666663</v>
      </c>
      <c r="E37" s="8">
        <v>59</v>
      </c>
      <c r="F37" s="8">
        <v>247</v>
      </c>
      <c r="G37" s="28">
        <v>379.4378698224852</v>
      </c>
      <c r="H37">
        <f t="shared" si="0"/>
        <v>306</v>
      </c>
      <c r="I37" s="29">
        <f t="shared" si="1"/>
        <v>-0.1935438596491228</v>
      </c>
    </row>
    <row r="38" spans="1:9" x14ac:dyDescent="0.3">
      <c r="A38" s="6" t="s">
        <v>61</v>
      </c>
      <c r="B38" s="6" t="s">
        <v>53</v>
      </c>
      <c r="C38" s="6">
        <v>2041</v>
      </c>
      <c r="D38" s="15">
        <v>332.33333333333331</v>
      </c>
      <c r="E38" s="8">
        <v>53</v>
      </c>
      <c r="F38" s="8">
        <v>165</v>
      </c>
      <c r="G38" s="28">
        <v>247.33727810650888</v>
      </c>
      <c r="H38">
        <f t="shared" si="0"/>
        <v>218</v>
      </c>
      <c r="I38" s="29">
        <f t="shared" si="1"/>
        <v>-0.11861244019138756</v>
      </c>
    </row>
    <row r="39" spans="1:9" x14ac:dyDescent="0.3">
      <c r="A39" s="6" t="s">
        <v>62</v>
      </c>
      <c r="B39" s="6" t="s">
        <v>63</v>
      </c>
      <c r="C39" s="6">
        <v>1328</v>
      </c>
      <c r="D39" s="15">
        <v>215.66666666666666</v>
      </c>
      <c r="E39" s="8">
        <v>29</v>
      </c>
      <c r="F39" s="8">
        <v>102</v>
      </c>
      <c r="G39" s="28">
        <v>132.66272189349112</v>
      </c>
      <c r="H39">
        <f t="shared" si="0"/>
        <v>131</v>
      </c>
      <c r="I39" s="29">
        <f t="shared" si="1"/>
        <v>-1.2533452274754681E-2</v>
      </c>
    </row>
    <row r="40" spans="1:9" x14ac:dyDescent="0.3">
      <c r="A40" s="6" t="s">
        <v>64</v>
      </c>
      <c r="B40" s="6" t="s">
        <v>63</v>
      </c>
      <c r="C40" s="6">
        <v>1258</v>
      </c>
      <c r="D40" s="15">
        <v>232.33333333333334</v>
      </c>
      <c r="E40" s="8">
        <v>55</v>
      </c>
      <c r="F40" s="8">
        <v>134</v>
      </c>
      <c r="G40" s="28">
        <v>164.14201183431953</v>
      </c>
      <c r="H40">
        <f t="shared" si="0"/>
        <v>189</v>
      </c>
      <c r="I40" s="29">
        <f t="shared" si="1"/>
        <v>0.15144196106705116</v>
      </c>
    </row>
    <row r="41" spans="1:9" x14ac:dyDescent="0.3">
      <c r="A41" s="6" t="s">
        <v>65</v>
      </c>
      <c r="B41" s="6" t="s">
        <v>63</v>
      </c>
      <c r="C41" s="6">
        <v>2329</v>
      </c>
      <c r="D41" s="15">
        <v>378.33333333333331</v>
      </c>
      <c r="E41" s="8">
        <v>22</v>
      </c>
      <c r="F41" s="8">
        <v>150</v>
      </c>
      <c r="G41" s="28">
        <v>256.89349112426038</v>
      </c>
      <c r="H41">
        <f t="shared" si="0"/>
        <v>172</v>
      </c>
      <c r="I41" s="29">
        <f t="shared" si="1"/>
        <v>-0.33046182195093871</v>
      </c>
    </row>
    <row r="42" spans="1:9" x14ac:dyDescent="0.3">
      <c r="A42" s="6" t="s">
        <v>66</v>
      </c>
      <c r="B42" s="6" t="s">
        <v>63</v>
      </c>
      <c r="C42" s="6">
        <v>1165</v>
      </c>
      <c r="D42" s="15">
        <v>198.33333333333334</v>
      </c>
      <c r="E42" s="8">
        <v>36</v>
      </c>
      <c r="F42" s="8">
        <v>103</v>
      </c>
      <c r="G42" s="28">
        <v>120.29585798816568</v>
      </c>
      <c r="H42">
        <f t="shared" si="0"/>
        <v>139</v>
      </c>
      <c r="I42" s="29">
        <f t="shared" si="1"/>
        <v>0.15548450565666505</v>
      </c>
    </row>
    <row r="43" spans="1:9" x14ac:dyDescent="0.3">
      <c r="A43" s="6" t="s">
        <v>67</v>
      </c>
      <c r="B43" s="6" t="s">
        <v>63</v>
      </c>
      <c r="C43" s="6">
        <v>1254</v>
      </c>
      <c r="D43" s="15">
        <v>203</v>
      </c>
      <c r="E43" s="8">
        <v>35</v>
      </c>
      <c r="F43" s="8">
        <v>104</v>
      </c>
      <c r="G43" s="28">
        <v>145.02958579881658</v>
      </c>
      <c r="H43">
        <f t="shared" si="0"/>
        <v>139</v>
      </c>
      <c r="I43" s="29">
        <f t="shared" si="1"/>
        <v>-4.1574867401060894E-2</v>
      </c>
    </row>
    <row r="44" spans="1:9" x14ac:dyDescent="0.3">
      <c r="A44" s="6" t="s">
        <v>68</v>
      </c>
      <c r="B44" s="6" t="s">
        <v>63</v>
      </c>
      <c r="C44" s="6">
        <v>1228</v>
      </c>
      <c r="D44" s="15">
        <v>281.33333333333331</v>
      </c>
      <c r="E44" s="8">
        <v>65</v>
      </c>
      <c r="F44" s="8">
        <v>160</v>
      </c>
      <c r="G44" s="28">
        <v>225.41420118343197</v>
      </c>
      <c r="H44">
        <f t="shared" si="0"/>
        <v>225</v>
      </c>
      <c r="I44" s="29">
        <f t="shared" si="1"/>
        <v>-1.8375114844468559E-3</v>
      </c>
    </row>
    <row r="45" spans="1:9" x14ac:dyDescent="0.3">
      <c r="A45" s="6" t="s">
        <v>69</v>
      </c>
      <c r="B45" s="6" t="s">
        <v>70</v>
      </c>
      <c r="C45" s="6">
        <v>16390</v>
      </c>
      <c r="D45" s="15">
        <v>2646.3333333333335</v>
      </c>
      <c r="E45" s="8">
        <v>185</v>
      </c>
      <c r="F45" s="8">
        <v>1081</v>
      </c>
      <c r="G45" s="28">
        <v>2018.0473372781062</v>
      </c>
      <c r="H45">
        <f t="shared" si="0"/>
        <v>1266</v>
      </c>
      <c r="I45" s="29">
        <f t="shared" si="1"/>
        <v>-0.37266090016126657</v>
      </c>
    </row>
    <row r="46" spans="1:9" x14ac:dyDescent="0.3">
      <c r="A46" s="6" t="s">
        <v>71</v>
      </c>
      <c r="B46" s="6" t="s">
        <v>70</v>
      </c>
      <c r="C46" s="6">
        <v>14140</v>
      </c>
      <c r="D46" s="15">
        <v>2298.3333333333335</v>
      </c>
      <c r="E46" s="8">
        <v>221</v>
      </c>
      <c r="F46" s="8">
        <v>999</v>
      </c>
      <c r="G46" s="28">
        <v>1614.4378698224853</v>
      </c>
      <c r="H46">
        <f t="shared" si="0"/>
        <v>1220</v>
      </c>
      <c r="I46" s="29">
        <f t="shared" si="1"/>
        <v>-0.24431901480721305</v>
      </c>
    </row>
    <row r="47" spans="1:9" x14ac:dyDescent="0.3">
      <c r="A47" s="6" t="s">
        <v>72</v>
      </c>
      <c r="B47" s="6" t="s">
        <v>70</v>
      </c>
      <c r="C47" s="6">
        <v>10910</v>
      </c>
      <c r="D47" s="15">
        <v>1732.3333333333333</v>
      </c>
      <c r="E47" s="8">
        <v>260</v>
      </c>
      <c r="F47" s="8">
        <v>846</v>
      </c>
      <c r="G47" s="28">
        <v>1186.094674556213</v>
      </c>
      <c r="H47">
        <f t="shared" si="0"/>
        <v>1106</v>
      </c>
      <c r="I47" s="29">
        <f t="shared" si="1"/>
        <v>-6.7528061860813171E-2</v>
      </c>
    </row>
    <row r="48" spans="1:9" x14ac:dyDescent="0.3">
      <c r="A48" s="6" t="s">
        <v>73</v>
      </c>
      <c r="B48" s="6" t="s">
        <v>70</v>
      </c>
      <c r="C48" s="6">
        <v>8008</v>
      </c>
      <c r="D48" s="15">
        <v>1257.6666666666667</v>
      </c>
      <c r="E48" s="8">
        <v>173</v>
      </c>
      <c r="F48" s="8">
        <v>599</v>
      </c>
      <c r="G48" s="28">
        <v>758.87573964497039</v>
      </c>
      <c r="H48">
        <f t="shared" si="0"/>
        <v>772</v>
      </c>
      <c r="I48" s="29">
        <f t="shared" si="1"/>
        <v>1.7294346978557532E-2</v>
      </c>
    </row>
    <row r="49" spans="1:9" x14ac:dyDescent="0.3">
      <c r="A49" s="6" t="s">
        <v>74</v>
      </c>
      <c r="B49" s="6" t="s">
        <v>70</v>
      </c>
      <c r="C49" s="6">
        <v>7431</v>
      </c>
      <c r="D49" s="15">
        <v>1074.3333333333333</v>
      </c>
      <c r="E49" s="8">
        <v>336</v>
      </c>
      <c r="F49" s="8">
        <v>700</v>
      </c>
      <c r="G49" s="28">
        <v>697.04142011834324</v>
      </c>
      <c r="H49">
        <f t="shared" si="0"/>
        <v>1036</v>
      </c>
      <c r="I49" s="29">
        <f t="shared" si="1"/>
        <v>0.48628183361629873</v>
      </c>
    </row>
    <row r="50" spans="1:9" x14ac:dyDescent="0.3">
      <c r="A50" s="6" t="s">
        <v>75</v>
      </c>
      <c r="B50" s="6" t="s">
        <v>70</v>
      </c>
      <c r="C50" s="6">
        <v>6267</v>
      </c>
      <c r="D50" s="15">
        <v>1034</v>
      </c>
      <c r="E50" s="8">
        <v>113</v>
      </c>
      <c r="F50" s="8">
        <v>463</v>
      </c>
      <c r="G50" s="28">
        <v>848.81656804733734</v>
      </c>
      <c r="H50">
        <f t="shared" si="0"/>
        <v>576</v>
      </c>
      <c r="I50" s="29">
        <f t="shared" si="1"/>
        <v>-0.32140815615196938</v>
      </c>
    </row>
    <row r="51" spans="1:9" x14ac:dyDescent="0.3">
      <c r="A51" s="6" t="s">
        <v>76</v>
      </c>
      <c r="B51" s="6" t="s">
        <v>70</v>
      </c>
      <c r="C51" s="6">
        <v>5599</v>
      </c>
      <c r="D51" s="15">
        <v>877.33333333333337</v>
      </c>
      <c r="E51" s="8">
        <v>174</v>
      </c>
      <c r="F51" s="8">
        <v>471</v>
      </c>
      <c r="G51" s="28">
        <v>671.18343195266277</v>
      </c>
      <c r="H51">
        <f t="shared" si="0"/>
        <v>645</v>
      </c>
      <c r="I51" s="29">
        <f t="shared" si="1"/>
        <v>-3.9010843692145004E-2</v>
      </c>
    </row>
    <row r="52" spans="1:9" x14ac:dyDescent="0.3">
      <c r="A52" s="6" t="s">
        <v>77</v>
      </c>
      <c r="B52" s="6" t="s">
        <v>70</v>
      </c>
      <c r="C52" s="6">
        <v>5067</v>
      </c>
      <c r="D52" s="15">
        <v>749.66666666666663</v>
      </c>
      <c r="E52" s="8">
        <v>176</v>
      </c>
      <c r="F52" s="8">
        <v>430</v>
      </c>
      <c r="G52" s="28">
        <v>622.84023668639054</v>
      </c>
      <c r="H52">
        <f t="shared" si="0"/>
        <v>606</v>
      </c>
      <c r="I52" s="29">
        <f t="shared" si="1"/>
        <v>-2.7037811134334042E-2</v>
      </c>
    </row>
    <row r="53" spans="1:9" x14ac:dyDescent="0.3">
      <c r="A53" s="6" t="s">
        <v>78</v>
      </c>
      <c r="B53" s="6" t="s">
        <v>70</v>
      </c>
      <c r="C53" s="6">
        <v>3679</v>
      </c>
      <c r="D53" s="15">
        <v>560</v>
      </c>
      <c r="E53" s="8">
        <v>176</v>
      </c>
      <c r="F53" s="8">
        <v>366</v>
      </c>
      <c r="G53" s="28">
        <v>309.17159763313612</v>
      </c>
      <c r="H53">
        <f t="shared" si="0"/>
        <v>542</v>
      </c>
      <c r="I53" s="29">
        <f t="shared" si="1"/>
        <v>0.75307177033492811</v>
      </c>
    </row>
    <row r="54" spans="1:9" x14ac:dyDescent="0.3">
      <c r="A54" s="6" t="s">
        <v>79</v>
      </c>
      <c r="B54" s="6" t="s">
        <v>70</v>
      </c>
      <c r="C54" s="6">
        <v>3073</v>
      </c>
      <c r="D54" s="15">
        <v>512.66666666666663</v>
      </c>
      <c r="E54" s="8">
        <v>56</v>
      </c>
      <c r="F54" s="8">
        <v>230</v>
      </c>
      <c r="G54" s="28">
        <v>318.72781065088753</v>
      </c>
      <c r="H54">
        <f t="shared" si="0"/>
        <v>286</v>
      </c>
      <c r="I54" s="29">
        <f t="shared" si="1"/>
        <v>-0.1026826325071938</v>
      </c>
    </row>
    <row r="55" spans="1:9" x14ac:dyDescent="0.3">
      <c r="A55" s="6" t="s">
        <v>80</v>
      </c>
      <c r="B55" s="6" t="s">
        <v>70</v>
      </c>
      <c r="C55" s="6">
        <v>2875</v>
      </c>
      <c r="D55" s="15">
        <v>468</v>
      </c>
      <c r="E55" s="8">
        <v>26</v>
      </c>
      <c r="F55" s="8">
        <v>184</v>
      </c>
      <c r="G55" s="28">
        <v>358.6390532544379</v>
      </c>
      <c r="H55">
        <f t="shared" si="0"/>
        <v>210</v>
      </c>
      <c r="I55" s="29">
        <f t="shared" si="1"/>
        <v>-0.41445306055106423</v>
      </c>
    </row>
    <row r="56" spans="1:9" x14ac:dyDescent="0.3">
      <c r="A56" s="6" t="s">
        <v>81</v>
      </c>
      <c r="B56" s="6" t="s">
        <v>70</v>
      </c>
      <c r="C56" s="6">
        <v>2477</v>
      </c>
      <c r="D56" s="15">
        <v>409.33333333333331</v>
      </c>
      <c r="E56" s="8">
        <v>22</v>
      </c>
      <c r="F56" s="8">
        <v>161</v>
      </c>
      <c r="G56" s="28">
        <v>314.79289940828403</v>
      </c>
      <c r="H56">
        <f t="shared" si="0"/>
        <v>183</v>
      </c>
      <c r="I56" s="29">
        <f t="shared" si="1"/>
        <v>-0.41866541353383457</v>
      </c>
    </row>
    <row r="57" spans="1:9" x14ac:dyDescent="0.3">
      <c r="A57" s="6" t="s">
        <v>82</v>
      </c>
      <c r="B57" s="6" t="s">
        <v>70</v>
      </c>
      <c r="C57" s="6">
        <v>2433</v>
      </c>
      <c r="D57" s="15">
        <v>397</v>
      </c>
      <c r="E57" s="8">
        <v>77</v>
      </c>
      <c r="F57" s="8">
        <v>211</v>
      </c>
      <c r="G57" s="28">
        <v>217.54437869822485</v>
      </c>
      <c r="H57">
        <f t="shared" si="0"/>
        <v>288</v>
      </c>
      <c r="I57" s="29">
        <f t="shared" si="1"/>
        <v>0.32386780905752754</v>
      </c>
    </row>
    <row r="58" spans="1:9" x14ac:dyDescent="0.3">
      <c r="A58" s="6" t="s">
        <v>83</v>
      </c>
      <c r="B58" s="6" t="s">
        <v>70</v>
      </c>
      <c r="C58" s="6">
        <v>1742</v>
      </c>
      <c r="D58" s="15">
        <v>283</v>
      </c>
      <c r="E58" s="8">
        <v>30</v>
      </c>
      <c r="F58" s="8">
        <v>126</v>
      </c>
      <c r="G58" s="28">
        <v>217.54437869822485</v>
      </c>
      <c r="H58">
        <f t="shared" si="0"/>
        <v>156</v>
      </c>
      <c r="I58" s="29">
        <f t="shared" si="1"/>
        <v>-0.28290493676050588</v>
      </c>
    </row>
    <row r="59" spans="1:9" x14ac:dyDescent="0.3">
      <c r="A59" s="6" t="s">
        <v>84</v>
      </c>
      <c r="B59" s="6" t="s">
        <v>70</v>
      </c>
      <c r="C59" s="6">
        <v>1677</v>
      </c>
      <c r="D59" s="15">
        <v>203</v>
      </c>
      <c r="E59" s="8">
        <v>30</v>
      </c>
      <c r="F59" s="8">
        <v>99</v>
      </c>
      <c r="G59" s="28">
        <v>194.49704142011836</v>
      </c>
      <c r="H59">
        <f t="shared" si="0"/>
        <v>129</v>
      </c>
      <c r="I59" s="29">
        <f t="shared" si="1"/>
        <v>-0.33675083662914518</v>
      </c>
    </row>
    <row r="60" spans="1:9" x14ac:dyDescent="0.3">
      <c r="A60" s="6" t="s">
        <v>85</v>
      </c>
      <c r="B60" s="6" t="s">
        <v>70</v>
      </c>
      <c r="C60" s="6">
        <v>1026</v>
      </c>
      <c r="D60" s="15">
        <v>191</v>
      </c>
      <c r="E60" s="8">
        <v>79</v>
      </c>
      <c r="F60" s="8">
        <v>144</v>
      </c>
      <c r="G60" s="28">
        <v>125.35502958579882</v>
      </c>
      <c r="H60">
        <f t="shared" si="0"/>
        <v>223</v>
      </c>
      <c r="I60" s="29">
        <f t="shared" si="1"/>
        <v>0.77894736842105261</v>
      </c>
    </row>
    <row r="61" spans="1:9" x14ac:dyDescent="0.3">
      <c r="A61" s="6" t="s">
        <v>86</v>
      </c>
      <c r="B61" s="6" t="s">
        <v>70</v>
      </c>
      <c r="C61" s="6">
        <v>918</v>
      </c>
      <c r="D61" s="15">
        <v>150.66666666666666</v>
      </c>
      <c r="E61" s="8">
        <v>37</v>
      </c>
      <c r="F61" s="8">
        <v>88</v>
      </c>
      <c r="G61" s="28">
        <v>103.99408284023667</v>
      </c>
      <c r="H61">
        <f t="shared" si="0"/>
        <v>125</v>
      </c>
      <c r="I61" s="29">
        <f t="shared" si="1"/>
        <v>0.20199146514936006</v>
      </c>
    </row>
    <row r="62" spans="1:9" x14ac:dyDescent="0.3">
      <c r="A62" s="6" t="s">
        <v>88</v>
      </c>
      <c r="B62" s="6" t="s">
        <v>70</v>
      </c>
      <c r="C62" s="6">
        <v>756</v>
      </c>
      <c r="D62" s="15">
        <v>143.33333333333334</v>
      </c>
      <c r="E62" s="8">
        <v>60</v>
      </c>
      <c r="F62" s="8">
        <v>109</v>
      </c>
      <c r="G62" s="28">
        <v>150.6508875739645</v>
      </c>
      <c r="H62">
        <f t="shared" si="0"/>
        <v>169</v>
      </c>
      <c r="I62" s="29">
        <f t="shared" si="1"/>
        <v>0.1217989002356638</v>
      </c>
    </row>
    <row r="63" spans="1:9" x14ac:dyDescent="0.3">
      <c r="A63" s="6" t="s">
        <v>89</v>
      </c>
      <c r="B63" s="6" t="s">
        <v>70</v>
      </c>
      <c r="C63" s="6">
        <v>601</v>
      </c>
      <c r="D63" s="15">
        <v>127</v>
      </c>
      <c r="E63" s="8">
        <v>18</v>
      </c>
      <c r="F63" s="8">
        <v>61</v>
      </c>
      <c r="G63" s="28">
        <v>91.065088757396467</v>
      </c>
      <c r="H63">
        <f t="shared" si="0"/>
        <v>79</v>
      </c>
      <c r="I63" s="29">
        <f t="shared" si="1"/>
        <v>-0.13248862897985722</v>
      </c>
    </row>
    <row r="64" spans="1:9" x14ac:dyDescent="0.3">
      <c r="A64" s="6" t="s">
        <v>90</v>
      </c>
      <c r="B64" s="6" t="s">
        <v>70</v>
      </c>
      <c r="C64" s="6">
        <v>468</v>
      </c>
      <c r="D64" s="15">
        <v>124</v>
      </c>
      <c r="E64" s="8">
        <v>50</v>
      </c>
      <c r="F64" s="8">
        <v>92</v>
      </c>
      <c r="G64" s="28">
        <v>86.568047337278117</v>
      </c>
      <c r="H64">
        <f t="shared" si="0"/>
        <v>142</v>
      </c>
      <c r="I64" s="29">
        <f t="shared" si="1"/>
        <v>0.64032809295967175</v>
      </c>
    </row>
    <row r="65" spans="1:9" x14ac:dyDescent="0.3">
      <c r="A65" s="6" t="s">
        <v>91</v>
      </c>
      <c r="B65" s="6" t="s">
        <v>70</v>
      </c>
      <c r="C65" s="6">
        <v>506</v>
      </c>
      <c r="D65" s="15">
        <v>121.33333333333333</v>
      </c>
      <c r="E65" s="8">
        <v>51</v>
      </c>
      <c r="F65" s="8">
        <v>92</v>
      </c>
      <c r="G65" s="28">
        <v>76.449704142011839</v>
      </c>
      <c r="H65">
        <f t="shared" si="0"/>
        <v>143</v>
      </c>
      <c r="I65" s="29">
        <f t="shared" si="1"/>
        <v>0.87051083591331258</v>
      </c>
    </row>
    <row r="66" spans="1:9" x14ac:dyDescent="0.3">
      <c r="A66" s="6" t="s">
        <v>92</v>
      </c>
      <c r="B66" s="6" t="s">
        <v>70</v>
      </c>
      <c r="C66" s="6">
        <v>701</v>
      </c>
      <c r="D66" s="15">
        <v>120.33333333333333</v>
      </c>
      <c r="E66" s="8">
        <v>8</v>
      </c>
      <c r="F66" s="8">
        <v>49</v>
      </c>
      <c r="G66" s="28">
        <v>70.828402366863898</v>
      </c>
      <c r="H66">
        <f t="shared" si="0"/>
        <v>57</v>
      </c>
      <c r="I66" s="29">
        <f t="shared" si="1"/>
        <v>-0.19523809523809516</v>
      </c>
    </row>
    <row r="67" spans="1:9" x14ac:dyDescent="0.3">
      <c r="A67" s="6" t="s">
        <v>93</v>
      </c>
      <c r="B67" s="6" t="s">
        <v>70</v>
      </c>
      <c r="C67" s="6">
        <v>624</v>
      </c>
      <c r="D67" s="15">
        <v>118.66666666666667</v>
      </c>
      <c r="E67" s="8">
        <v>14</v>
      </c>
      <c r="F67" s="8">
        <v>54</v>
      </c>
      <c r="G67" s="28">
        <v>70.828402366863898</v>
      </c>
      <c r="H67">
        <f t="shared" ref="H67:H106" si="2">SUM(E67:F67)</f>
        <v>68</v>
      </c>
      <c r="I67" s="29">
        <f t="shared" ref="I67:I106" si="3">(H67-G67)/G67</f>
        <v>-3.9933166248955626E-2</v>
      </c>
    </row>
    <row r="68" spans="1:9" x14ac:dyDescent="0.3">
      <c r="A68" s="6" t="s">
        <v>94</v>
      </c>
      <c r="B68" s="6" t="s">
        <v>70</v>
      </c>
      <c r="C68" s="6">
        <v>522</v>
      </c>
      <c r="D68" s="15">
        <v>115.33333333333333</v>
      </c>
      <c r="E68" s="8">
        <v>15</v>
      </c>
      <c r="F68" s="8">
        <v>54</v>
      </c>
      <c r="G68" s="28">
        <v>92.189349112426015</v>
      </c>
      <c r="H68">
        <f t="shared" si="2"/>
        <v>69</v>
      </c>
      <c r="I68" s="29">
        <f t="shared" si="3"/>
        <v>-0.25154043645699597</v>
      </c>
    </row>
    <row r="69" spans="1:9" x14ac:dyDescent="0.3">
      <c r="A69" s="6" t="s">
        <v>95</v>
      </c>
      <c r="B69" s="6" t="s">
        <v>70</v>
      </c>
      <c r="C69" s="6">
        <v>583</v>
      </c>
      <c r="D69" s="15">
        <v>98</v>
      </c>
      <c r="E69" s="8">
        <v>26</v>
      </c>
      <c r="F69" s="8">
        <v>59</v>
      </c>
      <c r="G69" s="28">
        <v>0</v>
      </c>
      <c r="H69">
        <f t="shared" si="2"/>
        <v>85</v>
      </c>
      <c r="I69" s="29">
        <v>0</v>
      </c>
    </row>
    <row r="70" spans="1:9" x14ac:dyDescent="0.3">
      <c r="A70" s="6" t="s">
        <v>96</v>
      </c>
      <c r="B70" s="6" t="s">
        <v>70</v>
      </c>
      <c r="C70" s="6">
        <v>453</v>
      </c>
      <c r="D70" s="15">
        <v>84</v>
      </c>
      <c r="E70" s="8">
        <v>24</v>
      </c>
      <c r="F70" s="8">
        <v>52</v>
      </c>
      <c r="G70" s="28">
        <v>75.887573964497051</v>
      </c>
      <c r="H70">
        <f t="shared" si="2"/>
        <v>76</v>
      </c>
      <c r="I70" s="29">
        <f t="shared" si="3"/>
        <v>1.4814814814813572E-3</v>
      </c>
    </row>
    <row r="71" spans="1:9" x14ac:dyDescent="0.3">
      <c r="A71" s="6" t="s">
        <v>97</v>
      </c>
      <c r="B71" s="6" t="s">
        <v>70</v>
      </c>
      <c r="C71" s="6">
        <v>476</v>
      </c>
      <c r="D71" s="15">
        <v>78.666666666666671</v>
      </c>
      <c r="E71" s="8">
        <v>7</v>
      </c>
      <c r="F71" s="8">
        <v>34</v>
      </c>
      <c r="G71" s="28">
        <v>77.011834319526628</v>
      </c>
      <c r="H71">
        <f t="shared" si="2"/>
        <v>41</v>
      </c>
      <c r="I71" s="29">
        <f t="shared" si="3"/>
        <v>-0.46761429120245873</v>
      </c>
    </row>
    <row r="72" spans="1:9" x14ac:dyDescent="0.3">
      <c r="A72" s="6" t="s">
        <v>98</v>
      </c>
      <c r="B72" s="6" t="s">
        <v>70</v>
      </c>
      <c r="C72" s="6">
        <v>321</v>
      </c>
      <c r="D72" s="15">
        <v>61.666666666666664</v>
      </c>
      <c r="E72" s="8">
        <v>23</v>
      </c>
      <c r="F72" s="8">
        <v>44</v>
      </c>
      <c r="G72" s="28">
        <v>60.710059171597649</v>
      </c>
      <c r="H72">
        <f t="shared" si="2"/>
        <v>67</v>
      </c>
      <c r="I72" s="29">
        <f t="shared" si="3"/>
        <v>0.10360623781676384</v>
      </c>
    </row>
    <row r="73" spans="1:9" x14ac:dyDescent="0.3">
      <c r="A73" s="6" t="s">
        <v>99</v>
      </c>
      <c r="B73" s="6" t="s">
        <v>70</v>
      </c>
      <c r="C73" s="6">
        <v>340</v>
      </c>
      <c r="D73" s="15">
        <v>51</v>
      </c>
      <c r="E73" s="8">
        <v>20</v>
      </c>
      <c r="F73" s="8">
        <v>37</v>
      </c>
      <c r="G73" s="28">
        <v>38.22485207100592</v>
      </c>
      <c r="H73">
        <f t="shared" si="2"/>
        <v>57</v>
      </c>
      <c r="I73" s="29">
        <f t="shared" si="3"/>
        <v>0.49117647058823521</v>
      </c>
    </row>
    <row r="74" spans="1:9" x14ac:dyDescent="0.3">
      <c r="A74" s="6" t="s">
        <v>100</v>
      </c>
      <c r="B74" s="6" t="s">
        <v>70</v>
      </c>
      <c r="C74" s="6">
        <v>223</v>
      </c>
      <c r="D74" s="15">
        <v>44.333333333333336</v>
      </c>
      <c r="E74" s="8">
        <v>42</v>
      </c>
      <c r="F74" s="8">
        <v>57</v>
      </c>
      <c r="G74" s="28">
        <v>99.497041420118336</v>
      </c>
      <c r="H74">
        <f t="shared" si="2"/>
        <v>99</v>
      </c>
      <c r="I74" s="29">
        <f t="shared" si="3"/>
        <v>-4.9955396966993035E-3</v>
      </c>
    </row>
    <row r="75" spans="1:9" x14ac:dyDescent="0.3">
      <c r="A75" s="6" t="s">
        <v>101</v>
      </c>
      <c r="B75" s="6" t="s">
        <v>70</v>
      </c>
      <c r="C75" s="6">
        <v>350</v>
      </c>
      <c r="D75" s="15">
        <v>42.333333333333336</v>
      </c>
      <c r="E75" s="8">
        <v>3</v>
      </c>
      <c r="F75" s="8">
        <v>17</v>
      </c>
      <c r="G75" s="28">
        <v>43.284023668639058</v>
      </c>
      <c r="H75">
        <f t="shared" si="2"/>
        <v>20</v>
      </c>
      <c r="I75" s="29">
        <f t="shared" si="3"/>
        <v>-0.53793574846206427</v>
      </c>
    </row>
    <row r="76" spans="1:9" x14ac:dyDescent="0.3">
      <c r="A76" s="6" t="s">
        <v>102</v>
      </c>
      <c r="B76" s="6" t="s">
        <v>70</v>
      </c>
      <c r="C76" s="6">
        <v>352</v>
      </c>
      <c r="D76" s="15">
        <v>42.333333333333336</v>
      </c>
      <c r="E76" s="8">
        <v>21</v>
      </c>
      <c r="F76" s="8">
        <v>35</v>
      </c>
      <c r="G76" s="28">
        <v>44.408284023668628</v>
      </c>
      <c r="H76">
        <f t="shared" si="2"/>
        <v>56</v>
      </c>
      <c r="I76" s="29">
        <f t="shared" si="3"/>
        <v>0.26102598267821486</v>
      </c>
    </row>
    <row r="77" spans="1:9" x14ac:dyDescent="0.3">
      <c r="A77" s="6" t="s">
        <v>103</v>
      </c>
      <c r="B77" s="6" t="s">
        <v>70</v>
      </c>
      <c r="C77" s="6">
        <v>106</v>
      </c>
      <c r="D77" s="15">
        <v>22</v>
      </c>
      <c r="E77" s="8">
        <v>25</v>
      </c>
      <c r="F77" s="8">
        <v>32</v>
      </c>
      <c r="G77" s="28">
        <v>38.786982248520708</v>
      </c>
      <c r="H77">
        <f t="shared" si="2"/>
        <v>57</v>
      </c>
      <c r="I77" s="29">
        <f t="shared" si="3"/>
        <v>0.46956521739130441</v>
      </c>
    </row>
    <row r="78" spans="1:9" x14ac:dyDescent="0.3">
      <c r="A78" s="6" t="s">
        <v>104</v>
      </c>
      <c r="B78" s="6" t="s">
        <v>70</v>
      </c>
      <c r="C78" s="6">
        <v>159</v>
      </c>
      <c r="D78" s="15">
        <v>20.666666666666668</v>
      </c>
      <c r="E78" s="8">
        <v>3</v>
      </c>
      <c r="F78" s="8">
        <v>10</v>
      </c>
      <c r="G78" s="28">
        <v>0</v>
      </c>
      <c r="H78">
        <f t="shared" si="2"/>
        <v>13</v>
      </c>
      <c r="I78" s="29">
        <v>0</v>
      </c>
    </row>
    <row r="79" spans="1:9" x14ac:dyDescent="0.3">
      <c r="A79" s="6" t="s">
        <v>105</v>
      </c>
      <c r="B79" s="6" t="s">
        <v>70</v>
      </c>
      <c r="C79" s="6">
        <v>64</v>
      </c>
      <c r="D79" s="15">
        <v>8</v>
      </c>
      <c r="E79" s="8">
        <v>9</v>
      </c>
      <c r="F79" s="8">
        <v>12</v>
      </c>
      <c r="G79" s="28">
        <v>0</v>
      </c>
      <c r="H79">
        <f t="shared" si="2"/>
        <v>21</v>
      </c>
      <c r="I79" s="29">
        <v>0</v>
      </c>
    </row>
    <row r="80" spans="1:9" x14ac:dyDescent="0.3">
      <c r="A80" s="6" t="s">
        <v>106</v>
      </c>
      <c r="B80" s="6" t="s">
        <v>70</v>
      </c>
      <c r="C80" s="6">
        <v>46</v>
      </c>
      <c r="D80" s="15">
        <v>5.333333333333333</v>
      </c>
      <c r="E80" s="8">
        <v>6</v>
      </c>
      <c r="F80" s="8">
        <v>8</v>
      </c>
      <c r="G80" s="28">
        <v>18.550295857988164</v>
      </c>
      <c r="H80">
        <f t="shared" si="2"/>
        <v>14</v>
      </c>
      <c r="I80" s="29">
        <f t="shared" si="3"/>
        <v>-0.24529505582137157</v>
      </c>
    </row>
    <row r="81" spans="1:9" x14ac:dyDescent="0.3">
      <c r="A81" s="6" t="s">
        <v>107</v>
      </c>
      <c r="B81" s="6" t="s">
        <v>108</v>
      </c>
      <c r="C81" s="6">
        <v>4561</v>
      </c>
      <c r="D81" s="7">
        <v>617</v>
      </c>
      <c r="E81" s="20">
        <v>76</v>
      </c>
      <c r="F81" s="9">
        <v>285</v>
      </c>
      <c r="G81" s="28">
        <v>457.01183431952666</v>
      </c>
      <c r="H81">
        <f t="shared" si="2"/>
        <v>361</v>
      </c>
      <c r="I81" s="29">
        <f t="shared" si="3"/>
        <v>-0.21008610086100865</v>
      </c>
    </row>
    <row r="82" spans="1:9" x14ac:dyDescent="0.3">
      <c r="A82" s="6" t="s">
        <v>109</v>
      </c>
      <c r="B82" s="6" t="s">
        <v>108</v>
      </c>
      <c r="C82" s="6">
        <v>1504</v>
      </c>
      <c r="D82" s="15">
        <v>258.66666666666669</v>
      </c>
      <c r="E82" s="20">
        <v>56</v>
      </c>
      <c r="F82" s="9">
        <v>144</v>
      </c>
      <c r="G82" s="28">
        <v>209.67455621301778</v>
      </c>
      <c r="H82">
        <f t="shared" si="2"/>
        <v>200</v>
      </c>
      <c r="I82" s="29">
        <f t="shared" si="3"/>
        <v>-4.6140821221955827E-2</v>
      </c>
    </row>
    <row r="83" spans="1:9" x14ac:dyDescent="0.3">
      <c r="A83" s="6" t="s">
        <v>110</v>
      </c>
      <c r="B83" s="6" t="s">
        <v>108</v>
      </c>
      <c r="C83" s="6">
        <v>822</v>
      </c>
      <c r="D83" s="7">
        <v>126</v>
      </c>
      <c r="E83" s="20">
        <v>29</v>
      </c>
      <c r="F83" s="9">
        <v>72</v>
      </c>
      <c r="G83" s="28">
        <v>136.59763313609469</v>
      </c>
      <c r="H83">
        <f t="shared" si="2"/>
        <v>101</v>
      </c>
      <c r="I83" s="29">
        <f t="shared" si="3"/>
        <v>-0.26060212259042675</v>
      </c>
    </row>
    <row r="84" spans="1:9" x14ac:dyDescent="0.3">
      <c r="A84" s="6" t="s">
        <v>112</v>
      </c>
      <c r="B84" s="6" t="s">
        <v>108</v>
      </c>
      <c r="C84" s="6">
        <v>460</v>
      </c>
      <c r="D84" s="15">
        <v>75.666666666666671</v>
      </c>
      <c r="E84" s="20">
        <v>14</v>
      </c>
      <c r="F84" s="9">
        <v>40</v>
      </c>
      <c r="G84" s="28">
        <v>43.846153846153854</v>
      </c>
      <c r="H84">
        <f t="shared" si="2"/>
        <v>54</v>
      </c>
      <c r="I84" s="29">
        <f t="shared" si="3"/>
        <v>0.23157894736842083</v>
      </c>
    </row>
    <row r="85" spans="1:9" x14ac:dyDescent="0.3">
      <c r="A85" s="6" t="s">
        <v>113</v>
      </c>
      <c r="B85" s="6" t="s">
        <v>108</v>
      </c>
      <c r="C85" s="6">
        <v>1024</v>
      </c>
      <c r="D85" s="7">
        <v>151</v>
      </c>
      <c r="E85" s="20">
        <v>13</v>
      </c>
      <c r="F85" s="9">
        <v>64</v>
      </c>
      <c r="G85" s="28">
        <v>106.24260355029585</v>
      </c>
      <c r="H85">
        <f t="shared" si="2"/>
        <v>77</v>
      </c>
      <c r="I85" s="29">
        <f t="shared" si="3"/>
        <v>-0.2752436647173489</v>
      </c>
    </row>
    <row r="86" spans="1:9" x14ac:dyDescent="0.3">
      <c r="A86" s="6" t="s">
        <v>114</v>
      </c>
      <c r="B86" s="6" t="s">
        <v>108</v>
      </c>
      <c r="C86" s="6">
        <v>1795</v>
      </c>
      <c r="D86" s="7">
        <v>270</v>
      </c>
      <c r="E86" s="20">
        <v>62</v>
      </c>
      <c r="F86" s="9">
        <v>153</v>
      </c>
      <c r="G86" s="28">
        <v>191.12426035502955</v>
      </c>
      <c r="H86">
        <f t="shared" si="2"/>
        <v>215</v>
      </c>
      <c r="I86" s="29">
        <f t="shared" si="3"/>
        <v>0.12492260061919526</v>
      </c>
    </row>
    <row r="87" spans="1:9" x14ac:dyDescent="0.3">
      <c r="A87" s="6" t="s">
        <v>116</v>
      </c>
      <c r="B87" s="6" t="s">
        <v>108</v>
      </c>
      <c r="C87" s="6">
        <v>2860</v>
      </c>
      <c r="D87" s="7">
        <v>572</v>
      </c>
      <c r="E87" s="20">
        <v>198</v>
      </c>
      <c r="F87" s="9">
        <v>392</v>
      </c>
      <c r="G87" s="28">
        <v>466.00591715976327</v>
      </c>
      <c r="H87">
        <f t="shared" si="2"/>
        <v>590</v>
      </c>
      <c r="I87" s="29">
        <f t="shared" si="3"/>
        <v>0.26607834423211235</v>
      </c>
    </row>
    <row r="88" spans="1:9" x14ac:dyDescent="0.3">
      <c r="A88" s="6" t="s">
        <v>117</v>
      </c>
      <c r="B88" s="6" t="s">
        <v>108</v>
      </c>
      <c r="C88" s="6">
        <v>1380</v>
      </c>
      <c r="D88" s="7">
        <v>347</v>
      </c>
      <c r="E88" s="20">
        <v>44</v>
      </c>
      <c r="F88" s="9">
        <v>161</v>
      </c>
      <c r="G88" s="28">
        <v>0</v>
      </c>
      <c r="H88">
        <f t="shared" si="2"/>
        <v>205</v>
      </c>
      <c r="I88" s="29">
        <v>0</v>
      </c>
    </row>
    <row r="89" spans="1:9" x14ac:dyDescent="0.3">
      <c r="A89" s="6" t="s">
        <v>118</v>
      </c>
      <c r="B89" s="6" t="s">
        <v>108</v>
      </c>
      <c r="C89" s="6">
        <v>1175</v>
      </c>
      <c r="D89" s="7">
        <v>252</v>
      </c>
      <c r="E89" s="20">
        <v>35</v>
      </c>
      <c r="F89" s="9">
        <v>120</v>
      </c>
      <c r="G89" s="28">
        <v>147.27810650887574</v>
      </c>
      <c r="H89">
        <f t="shared" si="2"/>
        <v>155</v>
      </c>
      <c r="I89" s="29">
        <f t="shared" si="3"/>
        <v>5.2430695058256344E-2</v>
      </c>
    </row>
    <row r="90" spans="1:9" x14ac:dyDescent="0.3">
      <c r="A90" s="6" t="s">
        <v>119</v>
      </c>
      <c r="B90" s="6" t="s">
        <v>108</v>
      </c>
      <c r="C90" s="6">
        <v>906</v>
      </c>
      <c r="D90" s="7">
        <v>133</v>
      </c>
      <c r="E90" s="20">
        <v>81</v>
      </c>
      <c r="F90" s="9">
        <v>126</v>
      </c>
      <c r="G90" s="28">
        <v>70.828402366863898</v>
      </c>
      <c r="H90">
        <f t="shared" si="2"/>
        <v>207</v>
      </c>
      <c r="I90" s="29">
        <f t="shared" si="3"/>
        <v>1.9225563909774441</v>
      </c>
    </row>
    <row r="91" spans="1:9" x14ac:dyDescent="0.3">
      <c r="A91" s="6" t="s">
        <v>120</v>
      </c>
      <c r="B91" s="6" t="s">
        <v>108</v>
      </c>
      <c r="C91" s="6">
        <v>1450</v>
      </c>
      <c r="D91" s="7">
        <v>266</v>
      </c>
      <c r="E91" s="20">
        <v>83</v>
      </c>
      <c r="F91" s="9">
        <v>173</v>
      </c>
      <c r="G91" s="28">
        <v>0</v>
      </c>
      <c r="H91">
        <f t="shared" si="2"/>
        <v>256</v>
      </c>
      <c r="I91" s="29">
        <v>0</v>
      </c>
    </row>
    <row r="92" spans="1:9" x14ac:dyDescent="0.3">
      <c r="A92" s="6" t="s">
        <v>121</v>
      </c>
      <c r="B92" s="6" t="s">
        <v>108</v>
      </c>
      <c r="C92" s="6">
        <v>750</v>
      </c>
      <c r="D92" s="7">
        <v>137</v>
      </c>
      <c r="E92" s="20">
        <v>83</v>
      </c>
      <c r="F92" s="9">
        <v>129</v>
      </c>
      <c r="G92" s="28">
        <v>97.810650887573985</v>
      </c>
      <c r="H92">
        <f t="shared" si="2"/>
        <v>212</v>
      </c>
      <c r="I92" s="29">
        <f t="shared" si="3"/>
        <v>1.167453115547489</v>
      </c>
    </row>
    <row r="93" spans="1:9" x14ac:dyDescent="0.3">
      <c r="A93" s="6" t="s">
        <v>122</v>
      </c>
      <c r="B93" s="6" t="s">
        <v>123</v>
      </c>
      <c r="C93" s="6">
        <v>2556</v>
      </c>
      <c r="D93" s="25">
        <v>366</v>
      </c>
      <c r="E93" s="8">
        <v>46</v>
      </c>
      <c r="F93" s="8">
        <v>170</v>
      </c>
      <c r="G93" s="28">
        <v>244.52662721893489</v>
      </c>
      <c r="H93">
        <f t="shared" si="2"/>
        <v>216</v>
      </c>
      <c r="I93" s="29">
        <f t="shared" si="3"/>
        <v>-0.11666061705989103</v>
      </c>
    </row>
    <row r="94" spans="1:9" x14ac:dyDescent="0.3">
      <c r="A94" s="6" t="s">
        <v>124</v>
      </c>
      <c r="B94" s="6" t="s">
        <v>123</v>
      </c>
      <c r="C94" s="6">
        <v>2233</v>
      </c>
      <c r="D94" s="25">
        <v>370</v>
      </c>
      <c r="E94" s="8">
        <v>65</v>
      </c>
      <c r="F94" s="8">
        <v>190</v>
      </c>
      <c r="G94" s="28">
        <v>240.59171597633136</v>
      </c>
      <c r="H94">
        <f t="shared" si="2"/>
        <v>255</v>
      </c>
      <c r="I94" s="29">
        <f t="shared" si="3"/>
        <v>5.9886866699458939E-2</v>
      </c>
    </row>
    <row r="95" spans="1:9" x14ac:dyDescent="0.3">
      <c r="A95" s="6" t="s">
        <v>125</v>
      </c>
      <c r="B95" s="6" t="s">
        <v>123</v>
      </c>
      <c r="C95" s="6">
        <v>2096</v>
      </c>
      <c r="D95" s="26">
        <v>366.33333333333331</v>
      </c>
      <c r="E95" s="8">
        <v>102</v>
      </c>
      <c r="F95" s="8">
        <v>226</v>
      </c>
      <c r="G95" s="28">
        <v>232.72189349112426</v>
      </c>
      <c r="H95">
        <f t="shared" si="2"/>
        <v>328</v>
      </c>
      <c r="I95" s="29">
        <f t="shared" si="3"/>
        <v>0.40940757691329771</v>
      </c>
    </row>
    <row r="96" spans="1:9" x14ac:dyDescent="0.3">
      <c r="A96" s="6" t="s">
        <v>126</v>
      </c>
      <c r="B96" s="6" t="s">
        <v>123</v>
      </c>
      <c r="C96" s="6">
        <v>3181</v>
      </c>
      <c r="D96" s="26">
        <v>608.66666666666663</v>
      </c>
      <c r="E96" s="8">
        <v>113</v>
      </c>
      <c r="F96" s="8">
        <v>319</v>
      </c>
      <c r="G96" s="28">
        <v>445.76923076923083</v>
      </c>
      <c r="H96">
        <f t="shared" si="2"/>
        <v>432</v>
      </c>
      <c r="I96" s="29">
        <f t="shared" si="3"/>
        <v>-3.0888697152717994E-2</v>
      </c>
    </row>
    <row r="97" spans="1:9" x14ac:dyDescent="0.3">
      <c r="A97" s="6" t="s">
        <v>127</v>
      </c>
      <c r="B97" s="6" t="s">
        <v>128</v>
      </c>
      <c r="C97" s="6">
        <v>1468</v>
      </c>
      <c r="D97" s="15">
        <v>489.33333333333331</v>
      </c>
      <c r="E97" s="8">
        <v>135</v>
      </c>
      <c r="F97" s="8">
        <v>301</v>
      </c>
      <c r="G97" s="28">
        <v>286.68639053254441</v>
      </c>
      <c r="H97">
        <f t="shared" si="2"/>
        <v>436</v>
      </c>
      <c r="I97" s="29">
        <f t="shared" si="3"/>
        <v>0.5208255933952527</v>
      </c>
    </row>
    <row r="98" spans="1:9" x14ac:dyDescent="0.3">
      <c r="A98" s="6" t="s">
        <v>130</v>
      </c>
      <c r="B98" s="6" t="s">
        <v>128</v>
      </c>
      <c r="C98" s="6">
        <v>760</v>
      </c>
      <c r="D98" s="15">
        <v>253.33333333333334</v>
      </c>
      <c r="E98" s="8">
        <v>25</v>
      </c>
      <c r="F98" s="8">
        <v>111</v>
      </c>
      <c r="G98" s="28">
        <v>184.94082840236686</v>
      </c>
      <c r="H98">
        <f t="shared" si="2"/>
        <v>136</v>
      </c>
      <c r="I98" s="29">
        <f t="shared" si="3"/>
        <v>-0.26462965925451926</v>
      </c>
    </row>
    <row r="99" spans="1:9" x14ac:dyDescent="0.3">
      <c r="A99" s="6" t="s">
        <v>131</v>
      </c>
      <c r="B99" s="6" t="s">
        <v>128</v>
      </c>
      <c r="C99" s="6">
        <v>963</v>
      </c>
      <c r="D99" s="15">
        <v>180</v>
      </c>
      <c r="E99" s="8">
        <v>11</v>
      </c>
      <c r="F99" s="8">
        <v>72</v>
      </c>
      <c r="G99" s="28">
        <v>112.42603550295857</v>
      </c>
      <c r="H99">
        <f t="shared" si="2"/>
        <v>83</v>
      </c>
      <c r="I99" s="29">
        <f t="shared" si="3"/>
        <v>-0.2617368421052631</v>
      </c>
    </row>
    <row r="100" spans="1:9" x14ac:dyDescent="0.3">
      <c r="A100" s="6" t="s">
        <v>132</v>
      </c>
      <c r="B100" s="6" t="s">
        <v>128</v>
      </c>
      <c r="C100" s="6">
        <v>50</v>
      </c>
      <c r="D100" s="15">
        <v>16.666666666666668</v>
      </c>
      <c r="E100" s="8">
        <v>12</v>
      </c>
      <c r="F100" s="8">
        <v>18</v>
      </c>
      <c r="G100" s="28">
        <v>0</v>
      </c>
      <c r="H100">
        <f t="shared" si="2"/>
        <v>30</v>
      </c>
      <c r="I100" s="29">
        <v>0</v>
      </c>
    </row>
    <row r="101" spans="1:9" x14ac:dyDescent="0.3">
      <c r="A101" s="6" t="s">
        <v>133</v>
      </c>
      <c r="B101" s="6" t="s">
        <v>128</v>
      </c>
      <c r="C101" s="6">
        <v>52</v>
      </c>
      <c r="D101" s="15">
        <v>17.333333333333332</v>
      </c>
      <c r="E101" s="8">
        <v>17</v>
      </c>
      <c r="F101" s="8">
        <v>23</v>
      </c>
      <c r="G101" s="28">
        <v>0</v>
      </c>
      <c r="H101">
        <f t="shared" si="2"/>
        <v>40</v>
      </c>
      <c r="I101" s="29">
        <v>0</v>
      </c>
    </row>
    <row r="102" spans="1:9" x14ac:dyDescent="0.3">
      <c r="A102" s="6" t="s">
        <v>135</v>
      </c>
      <c r="B102" s="6" t="s">
        <v>128</v>
      </c>
      <c r="C102" s="6">
        <v>22</v>
      </c>
      <c r="D102" s="15">
        <v>7.333333333333333</v>
      </c>
      <c r="E102" s="8">
        <v>6</v>
      </c>
      <c r="F102" s="8">
        <v>8</v>
      </c>
      <c r="G102" s="28">
        <v>0</v>
      </c>
      <c r="H102">
        <f t="shared" si="2"/>
        <v>14</v>
      </c>
      <c r="I102" s="29">
        <v>0</v>
      </c>
    </row>
    <row r="103" spans="1:9" x14ac:dyDescent="0.3">
      <c r="A103" s="6" t="s">
        <v>136</v>
      </c>
      <c r="B103" s="6" t="s">
        <v>128</v>
      </c>
      <c r="C103" s="6">
        <v>963</v>
      </c>
      <c r="D103" s="15">
        <v>189.33333333333334</v>
      </c>
      <c r="E103" s="8">
        <v>27</v>
      </c>
      <c r="F103" s="8">
        <v>91</v>
      </c>
      <c r="G103" s="28">
        <v>136.03550295857988</v>
      </c>
      <c r="H103">
        <f t="shared" si="2"/>
        <v>118</v>
      </c>
      <c r="I103" s="29">
        <f t="shared" si="3"/>
        <v>-0.13257938234014791</v>
      </c>
    </row>
    <row r="104" spans="1:9" x14ac:dyDescent="0.3">
      <c r="A104" s="6" t="s">
        <v>137</v>
      </c>
      <c r="B104" s="6" t="s">
        <v>128</v>
      </c>
      <c r="C104" s="6">
        <v>1197</v>
      </c>
      <c r="D104" s="15">
        <v>399</v>
      </c>
      <c r="E104" s="8">
        <v>119</v>
      </c>
      <c r="F104" s="8">
        <v>254</v>
      </c>
      <c r="G104" s="28">
        <v>310.29585798816566</v>
      </c>
      <c r="H104">
        <f t="shared" si="2"/>
        <v>373</v>
      </c>
      <c r="I104" s="29">
        <f t="shared" si="3"/>
        <v>0.20207856598016788</v>
      </c>
    </row>
    <row r="105" spans="1:9" x14ac:dyDescent="0.3">
      <c r="A105" s="6" t="s">
        <v>138</v>
      </c>
      <c r="B105" s="6" t="s">
        <v>128</v>
      </c>
      <c r="C105" s="6">
        <v>1065</v>
      </c>
      <c r="D105" s="15">
        <v>289.66666666666669</v>
      </c>
      <c r="E105" s="8">
        <v>45</v>
      </c>
      <c r="F105" s="8">
        <v>143</v>
      </c>
      <c r="G105" s="28">
        <v>245.65088757396444</v>
      </c>
      <c r="H105">
        <f t="shared" si="2"/>
        <v>188</v>
      </c>
      <c r="I105" s="29">
        <f t="shared" si="3"/>
        <v>-0.23468625797904355</v>
      </c>
    </row>
    <row r="106" spans="1:9" x14ac:dyDescent="0.3">
      <c r="A106" s="6" t="s">
        <v>139</v>
      </c>
      <c r="B106" s="6" t="s">
        <v>128</v>
      </c>
      <c r="C106" s="6">
        <v>633</v>
      </c>
      <c r="D106" s="15">
        <v>211</v>
      </c>
      <c r="E106" s="8">
        <v>49</v>
      </c>
      <c r="F106" s="8">
        <v>120</v>
      </c>
      <c r="G106" s="28">
        <v>139.97041420118342</v>
      </c>
      <c r="H106">
        <f t="shared" si="2"/>
        <v>169</v>
      </c>
      <c r="I106" s="29">
        <f t="shared" si="3"/>
        <v>0.20739801310505193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afna shamila</dc:creator>
  <cp:lastModifiedBy>afna shamila</cp:lastModifiedBy>
  <dcterms:created xsi:type="dcterms:W3CDTF">2023-06-28T06:59:41Z</dcterms:created>
  <dcterms:modified xsi:type="dcterms:W3CDTF">2023-07-17T03:28:28Z</dcterms:modified>
</cp:coreProperties>
</file>