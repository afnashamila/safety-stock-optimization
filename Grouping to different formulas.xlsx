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nas\Desktop\VKC\"/>
    </mc:Choice>
  </mc:AlternateContent>
  <xr:revisionPtr revIDLastSave="0" documentId="13_ncr:1_{C10D2F49-DC17-406D-A91F-DA766B043BD6}" xr6:coauthVersionLast="47" xr6:coauthVersionMax="47" xr10:uidLastSave="{00000000-0000-0000-0000-000000000000}"/>
  <bookViews>
    <workbookView xWindow="-108" yWindow="-108" windowWidth="23256" windowHeight="12456" tabRatio="1000" activeTab="6" xr2:uid="{E0CDD492-0B32-4DA2-96E1-C07FD91F5CCE}"/>
  </bookViews>
  <sheets>
    <sheet name="Sheet1" sheetId="10" r:id="rId1"/>
    <sheet name="Top models" sheetId="1" r:id="rId2"/>
    <sheet name="Competition Similar" sheetId="2" r:id="rId3"/>
    <sheet name="Fast Moving" sheetId="3" r:id="rId4"/>
    <sheet name="Running" sheetId="8" r:id="rId5"/>
    <sheet name="PT Fast Moving" sheetId="4" r:id="rId6"/>
    <sheet name="PT Running" sheetId="6" r:id="rId7"/>
    <sheet name="PT Top Models" sheetId="7" r:id="rId8"/>
    <sheet name="PT New Model" sheetId="5" r:id="rId9"/>
    <sheet name="Competition Similar (2)" sheetId="9" r:id="rId10"/>
  </sheets>
  <definedNames>
    <definedName name="_xlnm._FilterDatabase" localSheetId="5" hidden="1">'PT Fast Moving'!$B$3:$O$39</definedName>
    <definedName name="_xlnm._FilterDatabase" localSheetId="0" hidden="1">Sheet1!$A$2:$S$107</definedName>
    <definedName name="_xlnm._FilterDatabase" localSheetId="1" hidden="1">'Top models'!$B$2:$Q$2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9" l="1"/>
  <c r="Q4" i="10"/>
  <c r="R4" i="10" s="1"/>
  <c r="Q5" i="10"/>
  <c r="R5" i="10" s="1"/>
  <c r="Q6" i="10"/>
  <c r="R6" i="10" s="1"/>
  <c r="Q7" i="10"/>
  <c r="R7" i="10" s="1"/>
  <c r="Q8" i="10"/>
  <c r="R8" i="10" s="1"/>
  <c r="Q9" i="10"/>
  <c r="R9" i="10" s="1"/>
  <c r="Q10" i="10"/>
  <c r="R10" i="10" s="1"/>
  <c r="Q11" i="10"/>
  <c r="R11" i="10" s="1"/>
  <c r="Q12" i="10"/>
  <c r="R12" i="10" s="1"/>
  <c r="Q13" i="10"/>
  <c r="R13" i="10" s="1"/>
  <c r="Q14" i="10"/>
  <c r="R14" i="10" s="1"/>
  <c r="Q15" i="10"/>
  <c r="R15" i="10" s="1"/>
  <c r="Q16" i="10"/>
  <c r="R16" i="10" s="1"/>
  <c r="Q17" i="10"/>
  <c r="R17" i="10" s="1"/>
  <c r="Q18" i="10"/>
  <c r="R18" i="10" s="1"/>
  <c r="Q19" i="10"/>
  <c r="R19" i="10" s="1"/>
  <c r="Q20" i="10"/>
  <c r="R20" i="10" s="1"/>
  <c r="Q21" i="10"/>
  <c r="R21" i="10" s="1"/>
  <c r="Q22" i="10"/>
  <c r="R22" i="10" s="1"/>
  <c r="Q23" i="10"/>
  <c r="R23" i="10" s="1"/>
  <c r="Q24" i="10"/>
  <c r="R24" i="10" s="1"/>
  <c r="Q25" i="10"/>
  <c r="R25" i="10" s="1"/>
  <c r="Q26" i="10"/>
  <c r="R26" i="10" s="1"/>
  <c r="Q27" i="10"/>
  <c r="R27" i="10" s="1"/>
  <c r="Q28" i="10"/>
  <c r="R28" i="10" s="1"/>
  <c r="Q29" i="10"/>
  <c r="R29" i="10" s="1"/>
  <c r="Q30" i="10"/>
  <c r="R30" i="10" s="1"/>
  <c r="Q31" i="10"/>
  <c r="R31" i="10" s="1"/>
  <c r="Q32" i="10"/>
  <c r="R32" i="10" s="1"/>
  <c r="Q33" i="10"/>
  <c r="R33" i="10" s="1"/>
  <c r="Q34" i="10"/>
  <c r="R34" i="10" s="1"/>
  <c r="Q35" i="10"/>
  <c r="R35" i="10" s="1"/>
  <c r="Q36" i="10"/>
  <c r="R36" i="10" s="1"/>
  <c r="Q37" i="10"/>
  <c r="R37" i="10" s="1"/>
  <c r="Q38" i="10"/>
  <c r="R38" i="10" s="1"/>
  <c r="Q39" i="10"/>
  <c r="R39" i="10" s="1"/>
  <c r="Q40" i="10"/>
  <c r="R40" i="10" s="1"/>
  <c r="Q41" i="10"/>
  <c r="R41" i="10" s="1"/>
  <c r="Q42" i="10"/>
  <c r="R42" i="10" s="1"/>
  <c r="Q43" i="10"/>
  <c r="R43" i="10" s="1"/>
  <c r="Q44" i="10"/>
  <c r="R44" i="10" s="1"/>
  <c r="Q45" i="10"/>
  <c r="R45" i="10" s="1"/>
  <c r="Q46" i="10"/>
  <c r="R46" i="10" s="1"/>
  <c r="Q47" i="10"/>
  <c r="R47" i="10" s="1"/>
  <c r="Q48" i="10"/>
  <c r="R48" i="10" s="1"/>
  <c r="Q49" i="10"/>
  <c r="R49" i="10" s="1"/>
  <c r="Q50" i="10"/>
  <c r="R50" i="10" s="1"/>
  <c r="Q51" i="10"/>
  <c r="R51" i="10" s="1"/>
  <c r="Q52" i="10"/>
  <c r="R52" i="10" s="1"/>
  <c r="Q53" i="10"/>
  <c r="R53" i="10" s="1"/>
  <c r="Q54" i="10"/>
  <c r="R54" i="10" s="1"/>
  <c r="Q55" i="10"/>
  <c r="R55" i="10" s="1"/>
  <c r="Q56" i="10"/>
  <c r="R56" i="10" s="1"/>
  <c r="Q57" i="10"/>
  <c r="R57" i="10" s="1"/>
  <c r="Q58" i="10"/>
  <c r="R58" i="10" s="1"/>
  <c r="Q59" i="10"/>
  <c r="R59" i="10" s="1"/>
  <c r="Q60" i="10"/>
  <c r="R60" i="10" s="1"/>
  <c r="Q61" i="10"/>
  <c r="R61" i="10" s="1"/>
  <c r="Q62" i="10"/>
  <c r="R62" i="10" s="1"/>
  <c r="Q63" i="10"/>
  <c r="R63" i="10" s="1"/>
  <c r="Q64" i="10"/>
  <c r="R64" i="10" s="1"/>
  <c r="Q65" i="10"/>
  <c r="R65" i="10" s="1"/>
  <c r="Q66" i="10"/>
  <c r="R66" i="10" s="1"/>
  <c r="Q67" i="10"/>
  <c r="R67" i="10" s="1"/>
  <c r="Q68" i="10"/>
  <c r="R68" i="10" s="1"/>
  <c r="Q69" i="10"/>
  <c r="R69" i="10" s="1"/>
  <c r="Q70" i="10"/>
  <c r="R70" i="10" s="1"/>
  <c r="Q71" i="10"/>
  <c r="R71" i="10" s="1"/>
  <c r="Q72" i="10"/>
  <c r="R72" i="10" s="1"/>
  <c r="Q73" i="10"/>
  <c r="R73" i="10" s="1"/>
  <c r="Q74" i="10"/>
  <c r="R74" i="10" s="1"/>
  <c r="Q75" i="10"/>
  <c r="R75" i="10" s="1"/>
  <c r="Q76" i="10"/>
  <c r="R76" i="10" s="1"/>
  <c r="Q77" i="10"/>
  <c r="R77" i="10" s="1"/>
  <c r="Q78" i="10"/>
  <c r="R78" i="10" s="1"/>
  <c r="Q79" i="10"/>
  <c r="R79" i="10" s="1"/>
  <c r="Q80" i="10"/>
  <c r="R80" i="10" s="1"/>
  <c r="Q81" i="10"/>
  <c r="R81" i="10" s="1"/>
  <c r="Q82" i="10"/>
  <c r="R82" i="10" s="1"/>
  <c r="Q83" i="10"/>
  <c r="R83" i="10" s="1"/>
  <c r="Q84" i="10"/>
  <c r="R84" i="10" s="1"/>
  <c r="Q85" i="10"/>
  <c r="R85" i="10" s="1"/>
  <c r="Q86" i="10"/>
  <c r="R86" i="10" s="1"/>
  <c r="Q87" i="10"/>
  <c r="R87" i="10" s="1"/>
  <c r="Q88" i="10"/>
  <c r="R88" i="10" s="1"/>
  <c r="Q89" i="10"/>
  <c r="R89" i="10" s="1"/>
  <c r="Q90" i="10"/>
  <c r="R90" i="10" s="1"/>
  <c r="Q91" i="10"/>
  <c r="R91" i="10" s="1"/>
  <c r="Q92" i="10"/>
  <c r="R92" i="10" s="1"/>
  <c r="Q93" i="10"/>
  <c r="R93" i="10" s="1"/>
  <c r="Q94" i="10"/>
  <c r="R94" i="10" s="1"/>
  <c r="Q95" i="10"/>
  <c r="R95" i="10" s="1"/>
  <c r="Q96" i="10"/>
  <c r="R96" i="10" s="1"/>
  <c r="Q97" i="10"/>
  <c r="R97" i="10" s="1"/>
  <c r="Q98" i="10"/>
  <c r="R98" i="10" s="1"/>
  <c r="Q99" i="10"/>
  <c r="R99" i="10" s="1"/>
  <c r="Q100" i="10"/>
  <c r="R100" i="10" s="1"/>
  <c r="Q101" i="10"/>
  <c r="R101" i="10" s="1"/>
  <c r="Q102" i="10"/>
  <c r="R102" i="10" s="1"/>
  <c r="Q103" i="10"/>
  <c r="R103" i="10" s="1"/>
  <c r="Q104" i="10"/>
  <c r="R104" i="10" s="1"/>
  <c r="Q105" i="10"/>
  <c r="R105" i="10" s="1"/>
  <c r="Q106" i="10"/>
  <c r="R106" i="10" s="1"/>
  <c r="Q107" i="10"/>
  <c r="R107" i="10" s="1"/>
  <c r="Q3" i="10"/>
  <c r="R3" i="10" s="1"/>
  <c r="O5" i="9"/>
  <c r="P5" i="9" s="1"/>
  <c r="O6" i="9"/>
  <c r="P6" i="9" s="1"/>
  <c r="O7" i="9"/>
  <c r="P7" i="9" s="1"/>
  <c r="O8" i="9"/>
  <c r="P8" i="9" s="1"/>
  <c r="O4" i="9"/>
  <c r="N16" i="9"/>
  <c r="M17" i="9"/>
  <c r="C2" i="4"/>
</calcChain>
</file>

<file path=xl/sharedStrings.xml><?xml version="1.0" encoding="utf-8"?>
<sst xmlns="http://schemas.openxmlformats.org/spreadsheetml/2006/main" count="774" uniqueCount="203">
  <si>
    <t>A=average lead time</t>
  </si>
  <si>
    <t>B=Demand standard deviation</t>
  </si>
  <si>
    <t>C=Average sale</t>
  </si>
  <si>
    <t>D=Lead time standard deviation</t>
  </si>
  <si>
    <t>Method 1= when there is uncertainity on demand and lead time independent</t>
  </si>
  <si>
    <t>Method 2=when there is uncertainity on demand</t>
  </si>
  <si>
    <t>Method 3= when there is uncertainity on lead time</t>
  </si>
  <si>
    <t>Method 4= when there is uncertainity on demand and lead time dependent</t>
  </si>
  <si>
    <t>z*B*sqrt(A)</t>
  </si>
  <si>
    <t>z* C* D</t>
  </si>
  <si>
    <t>z* B * sqrt(A) + z* C*D</t>
  </si>
  <si>
    <t xml:space="preserve">Z * sqrt( (A * B²) + (C *D)²) </t>
  </si>
  <si>
    <t>Article Description</t>
  </si>
  <si>
    <t>3 Months Sales</t>
  </si>
  <si>
    <t>Average Sales</t>
  </si>
  <si>
    <t>GP1317-Black White-Gents</t>
  </si>
  <si>
    <t>GP1331-Black-Gents</t>
  </si>
  <si>
    <t>GP1331-Brown-Gents</t>
  </si>
  <si>
    <t>GP2624-Black-Gents</t>
  </si>
  <si>
    <t>GP4326-Black Red-Gents</t>
  </si>
  <si>
    <t>z=zscore of 90% service level</t>
  </si>
  <si>
    <t>3116-Grey-Boys</t>
  </si>
  <si>
    <t>3116-Grey-Gents</t>
  </si>
  <si>
    <t>3290-White-Gents</t>
  </si>
  <si>
    <t>3796-Brown-Gents</t>
  </si>
  <si>
    <t>8333-Navy Blue-Ladies</t>
  </si>
  <si>
    <t>D7424-Brown-Gents</t>
  </si>
  <si>
    <t>DG9835-Grey Blue-Gents</t>
  </si>
  <si>
    <t>DL3410-Black-Ladies</t>
  </si>
  <si>
    <t>DX3404-Blue-Ladies</t>
  </si>
  <si>
    <t>3403-Black-Boys</t>
  </si>
  <si>
    <t>3403-Black-Children</t>
  </si>
  <si>
    <t>3403-Black-Gents</t>
  </si>
  <si>
    <t>3403-Black-Giants</t>
  </si>
  <si>
    <t>3403-Black-Jumbo</t>
  </si>
  <si>
    <t>3403-Blue-Boys</t>
  </si>
  <si>
    <t>3403-Blue-Children</t>
  </si>
  <si>
    <t>3403-Blue-Gents</t>
  </si>
  <si>
    <t>3403-Brown-Boys</t>
  </si>
  <si>
    <t>3403-Brown-Children</t>
  </si>
  <si>
    <t>3403-Brown-Gents</t>
  </si>
  <si>
    <t>3403-Brown-Giants</t>
  </si>
  <si>
    <t>3403-Brown-Jumbo</t>
  </si>
  <si>
    <t>3403-Tan-Boys</t>
  </si>
  <si>
    <t>3403-Tan-Children</t>
  </si>
  <si>
    <t>3403-Tan-Gents</t>
  </si>
  <si>
    <t>3403-Tan-Giants</t>
  </si>
  <si>
    <t>3403-Tan-Jumbo</t>
  </si>
  <si>
    <t>GP2624-Brown-Gents</t>
  </si>
  <si>
    <t>GP2624-Tan-Gents</t>
  </si>
  <si>
    <t>GP4030-Black-Boys</t>
  </si>
  <si>
    <t>GP4030-Black-Gents</t>
  </si>
  <si>
    <t>GP4030-Black-Giants</t>
  </si>
  <si>
    <t>GP4030-Brown-Boys</t>
  </si>
  <si>
    <t>GP4030-Brown-Gents</t>
  </si>
  <si>
    <t>GP4030-Brown-Giants</t>
  </si>
  <si>
    <t>GP4353-Black-Gents</t>
  </si>
  <si>
    <t>GP4353-Brown-Gents</t>
  </si>
  <si>
    <t>GP4387-Brown-Boys</t>
  </si>
  <si>
    <t>GP4387-Brown-Gents</t>
  </si>
  <si>
    <t>GP4387-Brown-Giants</t>
  </si>
  <si>
    <t>GP4387-Mehandi-Gents</t>
  </si>
  <si>
    <t>GP4387-Tan-Gents</t>
  </si>
  <si>
    <t>GP4604-Red Black-Boys</t>
  </si>
  <si>
    <t>GP4604-Red Black-Gents</t>
  </si>
  <si>
    <t>LP1311-Blue-Ladies</t>
  </si>
  <si>
    <t>3403-Brick-Gents</t>
  </si>
  <si>
    <t>DL3038-Brick-Ladies</t>
  </si>
  <si>
    <t>DL3458-Blue-Ladies</t>
  </si>
  <si>
    <t>DL3458-Peach-Children</t>
  </si>
  <si>
    <t>DL3458-Peach-Girls</t>
  </si>
  <si>
    <t>DL3458-Peach-Kids</t>
  </si>
  <si>
    <t>DL3458-Peach-Ladies</t>
  </si>
  <si>
    <t>SP40104-Brown-Gents</t>
  </si>
  <si>
    <t>SP42108-Blue-Gents</t>
  </si>
  <si>
    <t>SP42111-Black-Gents</t>
  </si>
  <si>
    <t>3403-Grey-Gents</t>
  </si>
  <si>
    <t>8129-Blue-Ladies</t>
  </si>
  <si>
    <t>DG9838-Blue-Gents</t>
  </si>
  <si>
    <t>DG9838-Blue Green-Boys</t>
  </si>
  <si>
    <t>DG9855-Brown-Gents</t>
  </si>
  <si>
    <t>GP4290-Camel-Gents</t>
  </si>
  <si>
    <t>GP4357-Brown-Gents</t>
  </si>
  <si>
    <t>GP4357-Tan-Gents</t>
  </si>
  <si>
    <t>GP4361-Blue-Gents</t>
  </si>
  <si>
    <t>GP4604-Blue-Gents</t>
  </si>
  <si>
    <t>LE1305-Blue-Ladies</t>
  </si>
  <si>
    <t>LP1628-Blue-Ladies</t>
  </si>
  <si>
    <t>8129-Cream-Ladies</t>
  </si>
  <si>
    <t>GP4030-Tan-Gents</t>
  </si>
  <si>
    <t>GP4353-Mehandi-Gents</t>
  </si>
  <si>
    <t>LP1327-Black-Ladies</t>
  </si>
  <si>
    <t>3116-Mehandi-Gents</t>
  </si>
  <si>
    <t>3202-Black-Gents</t>
  </si>
  <si>
    <t>8129-Tan-Ladies</t>
  </si>
  <si>
    <t>DG9522-Black Grey-Gents</t>
  </si>
  <si>
    <t>DG9522-Tan Black-Gents</t>
  </si>
  <si>
    <t>P7494-Black-Gents</t>
  </si>
  <si>
    <t xml:space="preserve">Average Sales </t>
  </si>
  <si>
    <t xml:space="preserve">Reorder Point=Safety stock + Average Sale * Average Lead Time </t>
  </si>
  <si>
    <t>Reorder Point</t>
  </si>
  <si>
    <t>Reorder point</t>
  </si>
  <si>
    <t>Unit Stock</t>
  </si>
  <si>
    <t>Depot Stock</t>
  </si>
  <si>
    <t>Total Stock</t>
  </si>
  <si>
    <t>Intimation</t>
  </si>
  <si>
    <t>Method Final</t>
  </si>
  <si>
    <t>Method 1</t>
  </si>
  <si>
    <t>Method 2</t>
  </si>
  <si>
    <t>Method 4</t>
  </si>
  <si>
    <t>Reorder Point 
%</t>
  </si>
  <si>
    <t xml:space="preserve">Method 1 </t>
  </si>
  <si>
    <t>Final Method</t>
  </si>
  <si>
    <t>Reorder Point%</t>
  </si>
  <si>
    <t xml:space="preserve">Final Method </t>
  </si>
  <si>
    <t>Method 1/2</t>
  </si>
  <si>
    <t>Method1/2</t>
  </si>
  <si>
    <t xml:space="preserve">Method 2 </t>
  </si>
  <si>
    <t>if</t>
  </si>
  <si>
    <t>(l17=10%of l16)</t>
  </si>
  <si>
    <t>refill</t>
  </si>
  <si>
    <t>(l17=20%of l16)</t>
  </si>
  <si>
    <t>stock available</t>
  </si>
  <si>
    <t>A-reordering point'</t>
  </si>
  <si>
    <t>B-total stock</t>
  </si>
  <si>
    <t>Top Models</t>
  </si>
  <si>
    <t>Competition Similar</t>
  </si>
  <si>
    <t>Fast Moving</t>
  </si>
  <si>
    <t>Running</t>
  </si>
  <si>
    <t>PT Fast Moving</t>
  </si>
  <si>
    <t>PT Running</t>
  </si>
  <si>
    <t>PT Top Models</t>
  </si>
  <si>
    <t>PT New Model</t>
  </si>
  <si>
    <t>Grade</t>
  </si>
  <si>
    <t>311 Black-Boys</t>
  </si>
  <si>
    <t>311-Black-Gents</t>
  </si>
  <si>
    <t>311-Black-Giants</t>
  </si>
  <si>
    <t>321-Black-Gents</t>
  </si>
  <si>
    <t>321-Black-Giants</t>
  </si>
  <si>
    <t>321-Brown-Gents</t>
  </si>
  <si>
    <t>321-Brown-Giants</t>
  </si>
  <si>
    <t>329-Black-Boys</t>
  </si>
  <si>
    <t>329-Black-Gents</t>
  </si>
  <si>
    <t>329-Black-Giants</t>
  </si>
  <si>
    <t>329-Brown-Boys</t>
  </si>
  <si>
    <t>329-Brown-Gents</t>
  </si>
  <si>
    <t>329-Brown-Giants</t>
  </si>
  <si>
    <t>379-Tan-Gents</t>
  </si>
  <si>
    <t>812-Black-Ladies</t>
  </si>
  <si>
    <t>7469-Black-Gents</t>
  </si>
  <si>
    <t>7469-Black-Giants</t>
  </si>
  <si>
    <t>7469-Brown-Gents</t>
  </si>
  <si>
    <t>7469-Brown-Giants</t>
  </si>
  <si>
    <t>9400-Brown-Gents</t>
  </si>
  <si>
    <t>9522-Navy Blue-Boys</t>
  </si>
  <si>
    <t>1317-Black White-Gents</t>
  </si>
  <si>
    <t>1331-Black-Gents</t>
  </si>
  <si>
    <t>1331-Brown-Gents</t>
  </si>
  <si>
    <t>2624-Black-Gents</t>
  </si>
  <si>
    <t>4326-Black Red-Gents</t>
  </si>
  <si>
    <t>311-Grey-Boys</t>
  </si>
  <si>
    <t>311-Grey-Gents</t>
  </si>
  <si>
    <t>329-White-Gents</t>
  </si>
  <si>
    <t>376-Brown-Gents</t>
  </si>
  <si>
    <t>833-Navy Blue-Ladies</t>
  </si>
  <si>
    <t>D24-Brown-Gents</t>
  </si>
  <si>
    <t>DG35-Grey Blue-Gents</t>
  </si>
  <si>
    <t>DL10-Black-Ladies</t>
  </si>
  <si>
    <t>D3404-Blue-Ladies</t>
  </si>
  <si>
    <t>316-Mehandi-Gents</t>
  </si>
  <si>
    <t>322-Black-Gents</t>
  </si>
  <si>
    <t>29-Tan-Ladies</t>
  </si>
  <si>
    <t>D522-Black Grey-Gents</t>
  </si>
  <si>
    <t>DG92-Tan Black-Gents</t>
  </si>
  <si>
    <t>G30-Tan-Gents</t>
  </si>
  <si>
    <t>92-Navy Blue-Gents</t>
  </si>
  <si>
    <t>SP411-Black-Gents</t>
  </si>
  <si>
    <t>SP404-Brown-Gents</t>
  </si>
  <si>
    <t>SP108-Blue-Gents</t>
  </si>
  <si>
    <t>D3458-Peach-Kids</t>
  </si>
  <si>
    <t>DL458-Blue-Ladies</t>
  </si>
  <si>
    <t>Article Description ( names have been changed for privacy concerns)</t>
  </si>
  <si>
    <t>316-Black-Boys</t>
  </si>
  <si>
    <t>36-Black-Gents</t>
  </si>
  <si>
    <t>116-Black-Giants</t>
  </si>
  <si>
    <t>212-Black-Gents</t>
  </si>
  <si>
    <t>312-Black-Giants</t>
  </si>
  <si>
    <t>322-Brown-Gents</t>
  </si>
  <si>
    <t>312-Brown-Giants</t>
  </si>
  <si>
    <t>390-Black-Boys</t>
  </si>
  <si>
    <t>320-Black-Gents</t>
  </si>
  <si>
    <t>90-Black-Giants</t>
  </si>
  <si>
    <t>390-Brown-Boys</t>
  </si>
  <si>
    <t>390-Brown-Gents</t>
  </si>
  <si>
    <t>30-Brown-Giants</t>
  </si>
  <si>
    <t>397-Tan-Gents</t>
  </si>
  <si>
    <t>29-Black-Ladies</t>
  </si>
  <si>
    <t>469-Black-Giants</t>
  </si>
  <si>
    <t>D79-Brown-Giants</t>
  </si>
  <si>
    <t>D00-Brown-Gents</t>
  </si>
  <si>
    <t>D130-Tan-Gents</t>
  </si>
  <si>
    <t>DG22-Navy Blue-Boys</t>
  </si>
  <si>
    <t>D522-Navy Blue-Gents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</si>
</sst>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1" applyNumberFormat="1" applyFont="1"/>
    <xf numFmtId="0" fontId="2" fillId="0" borderId="3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2" fillId="0" borderId="1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0DAC-1E11-47E8-A583-E6CA224BEA60}">
  <dimension ref="A1:S107"/>
  <sheetViews>
    <sheetView workbookViewId="0">
      <pane ySplit="2" topLeftCell="A3" activePane="bottomLeft" state="frozen"/>
      <selection pane="bottomLeft" activeCell="A3" sqref="A3"/>
    </sheetView>
  </sheetViews>
  <sheetFormatPr defaultRowHeight="14.4" x14ac:dyDescent="0.3"/>
  <cols>
    <col min="1" max="1" width="23.21875" bestFit="1" customWidth="1"/>
    <col min="2" max="2" width="17.21875" bestFit="1" customWidth="1"/>
    <col min="3" max="3" width="8.21875" bestFit="1" customWidth="1"/>
    <col min="4" max="4" width="8.44140625" bestFit="1" customWidth="1"/>
    <col min="5" max="5" width="18.5546875" bestFit="1" customWidth="1"/>
    <col min="6" max="6" width="7.6640625" bestFit="1" customWidth="1"/>
    <col min="7" max="7" width="15" bestFit="1" customWidth="1"/>
    <col min="8" max="8" width="7.6640625" bestFit="1" customWidth="1"/>
    <col min="9" max="9" width="17.88671875" bestFit="1" customWidth="1"/>
    <col min="10" max="10" width="7.6640625" bestFit="1" customWidth="1"/>
    <col min="11" max="11" width="20.44140625" bestFit="1" customWidth="1"/>
    <col min="12" max="12" width="7.6640625" bestFit="1" customWidth="1"/>
    <col min="13" max="13" width="11.109375" bestFit="1" customWidth="1"/>
    <col min="14" max="14" width="7.6640625" bestFit="1" customWidth="1"/>
    <col min="15" max="15" width="5.6640625" bestFit="1" customWidth="1"/>
    <col min="16" max="16" width="6.109375" bestFit="1" customWidth="1"/>
    <col min="17" max="17" width="5.6640625" bestFit="1" customWidth="1"/>
    <col min="18" max="18" width="13.88671875" bestFit="1" customWidth="1"/>
    <col min="19" max="19" width="17.109375" customWidth="1"/>
  </cols>
  <sheetData>
    <row r="1" spans="1:19" ht="57.6" x14ac:dyDescent="0.3">
      <c r="A1" s="3"/>
      <c r="B1" s="3"/>
      <c r="C1" s="3"/>
      <c r="D1" s="3"/>
      <c r="E1" s="4" t="s">
        <v>4</v>
      </c>
      <c r="F1" s="4"/>
      <c r="G1" s="4" t="s">
        <v>5</v>
      </c>
      <c r="H1" s="4"/>
      <c r="I1" s="4" t="s">
        <v>6</v>
      </c>
      <c r="J1" s="4"/>
      <c r="K1" s="4" t="s">
        <v>7</v>
      </c>
      <c r="L1" s="4"/>
      <c r="M1" s="4"/>
      <c r="N1" s="4"/>
      <c r="O1" s="4"/>
      <c r="P1" s="4"/>
      <c r="Q1" s="4"/>
      <c r="R1" s="4"/>
    </row>
    <row r="2" spans="1:19" ht="62.4" x14ac:dyDescent="0.3">
      <c r="A2" s="7" t="s">
        <v>181</v>
      </c>
      <c r="B2" s="7" t="s">
        <v>133</v>
      </c>
      <c r="C2" s="7" t="s">
        <v>13</v>
      </c>
      <c r="D2" s="7" t="s">
        <v>98</v>
      </c>
      <c r="E2" s="10" t="s">
        <v>11</v>
      </c>
      <c r="F2" s="10" t="s">
        <v>100</v>
      </c>
      <c r="G2" s="10" t="s">
        <v>8</v>
      </c>
      <c r="H2" s="10" t="s">
        <v>101</v>
      </c>
      <c r="I2" s="10" t="s">
        <v>9</v>
      </c>
      <c r="J2" s="10" t="s">
        <v>100</v>
      </c>
      <c r="K2" s="8" t="s">
        <v>10</v>
      </c>
      <c r="L2" s="10" t="s">
        <v>100</v>
      </c>
      <c r="M2" s="10" t="s">
        <v>112</v>
      </c>
      <c r="N2" s="10" t="s">
        <v>113</v>
      </c>
      <c r="O2" s="10" t="s">
        <v>102</v>
      </c>
      <c r="P2" s="10" t="s">
        <v>103</v>
      </c>
      <c r="Q2" s="10" t="s">
        <v>104</v>
      </c>
      <c r="R2" s="10" t="s">
        <v>105</v>
      </c>
    </row>
    <row r="3" spans="1:19" x14ac:dyDescent="0.3">
      <c r="A3" s="1" t="s">
        <v>134</v>
      </c>
      <c r="B3" s="1" t="s">
        <v>125</v>
      </c>
      <c r="C3" s="1">
        <v>495</v>
      </c>
      <c r="D3" s="16">
        <v>89</v>
      </c>
      <c r="E3" s="6">
        <v>23</v>
      </c>
      <c r="F3" s="12">
        <v>53</v>
      </c>
      <c r="G3" s="5">
        <v>22</v>
      </c>
      <c r="H3" s="5">
        <v>52</v>
      </c>
      <c r="I3" s="5">
        <v>5</v>
      </c>
      <c r="J3" s="5">
        <v>35</v>
      </c>
      <c r="K3" s="5">
        <v>27</v>
      </c>
      <c r="L3" s="31">
        <v>57</v>
      </c>
      <c r="M3" s="32" t="s">
        <v>107</v>
      </c>
      <c r="N3" s="30">
        <v>1</v>
      </c>
      <c r="O3" s="27">
        <v>50</v>
      </c>
      <c r="P3" s="27">
        <v>150</v>
      </c>
      <c r="Q3" s="27">
        <f>SUM(O3:P3)</f>
        <v>200</v>
      </c>
      <c r="R3" s="27" t="str">
        <f>IF(Q3&lt;(F3+F3*10%),"Refill","Stock Available")</f>
        <v>Stock Available</v>
      </c>
      <c r="S3" t="s">
        <v>20</v>
      </c>
    </row>
    <row r="4" spans="1:19" x14ac:dyDescent="0.3">
      <c r="A4" s="1" t="s">
        <v>135</v>
      </c>
      <c r="B4" s="1" t="s">
        <v>125</v>
      </c>
      <c r="C4" s="1">
        <v>7875</v>
      </c>
      <c r="D4" s="16">
        <v>1547</v>
      </c>
      <c r="E4" s="6">
        <v>96</v>
      </c>
      <c r="F4" s="12">
        <v>620</v>
      </c>
      <c r="G4" s="5">
        <v>55</v>
      </c>
      <c r="H4" s="5">
        <v>579</v>
      </c>
      <c r="I4" s="5">
        <v>79</v>
      </c>
      <c r="J4" s="5">
        <v>603</v>
      </c>
      <c r="K4" s="5">
        <v>134</v>
      </c>
      <c r="L4" s="5">
        <v>658</v>
      </c>
      <c r="M4" s="27" t="s">
        <v>107</v>
      </c>
      <c r="N4" s="30">
        <v>1</v>
      </c>
      <c r="O4" s="27">
        <v>100</v>
      </c>
      <c r="P4" s="27">
        <v>67</v>
      </c>
      <c r="Q4" s="27">
        <f t="shared" ref="Q4:Q67" si="0">SUM(O4:P4)</f>
        <v>167</v>
      </c>
      <c r="R4" s="27" t="str">
        <f t="shared" ref="R4:R25" si="1">IF(Q4&lt;(F4+F4*10%),"Refill","Stock Available")</f>
        <v>Refill</v>
      </c>
      <c r="S4" t="s">
        <v>3</v>
      </c>
    </row>
    <row r="5" spans="1:19" x14ac:dyDescent="0.3">
      <c r="A5" s="1" t="s">
        <v>136</v>
      </c>
      <c r="B5" s="1" t="s">
        <v>125</v>
      </c>
      <c r="C5" s="1">
        <v>239</v>
      </c>
      <c r="D5" s="16">
        <v>37</v>
      </c>
      <c r="E5" s="6">
        <v>4</v>
      </c>
      <c r="F5" s="12">
        <v>17</v>
      </c>
      <c r="G5" s="5">
        <v>4</v>
      </c>
      <c r="H5" s="5">
        <v>17</v>
      </c>
      <c r="I5" s="5">
        <v>2</v>
      </c>
      <c r="J5" s="5">
        <v>15</v>
      </c>
      <c r="K5" s="5">
        <v>6</v>
      </c>
      <c r="L5" s="5">
        <v>19</v>
      </c>
      <c r="M5" s="27" t="s">
        <v>107</v>
      </c>
      <c r="N5" s="30">
        <v>1</v>
      </c>
      <c r="O5" s="27">
        <v>90</v>
      </c>
      <c r="P5" s="27">
        <v>54</v>
      </c>
      <c r="Q5" s="27">
        <f t="shared" si="0"/>
        <v>144</v>
      </c>
      <c r="R5" s="27" t="str">
        <f t="shared" si="1"/>
        <v>Stock Available</v>
      </c>
      <c r="S5" t="s">
        <v>2</v>
      </c>
    </row>
    <row r="6" spans="1:19" x14ac:dyDescent="0.3">
      <c r="A6" s="1" t="s">
        <v>137</v>
      </c>
      <c r="B6" s="1" t="s">
        <v>125</v>
      </c>
      <c r="C6" s="1">
        <v>4363</v>
      </c>
      <c r="D6" s="16">
        <v>767</v>
      </c>
      <c r="E6" s="6">
        <v>110</v>
      </c>
      <c r="F6" s="12">
        <v>369</v>
      </c>
      <c r="G6" s="5">
        <v>103</v>
      </c>
      <c r="H6" s="5">
        <v>362</v>
      </c>
      <c r="I6" s="5">
        <v>39</v>
      </c>
      <c r="J6" s="5">
        <v>298</v>
      </c>
      <c r="K6" s="5">
        <v>142</v>
      </c>
      <c r="L6" s="5">
        <v>401</v>
      </c>
      <c r="M6" s="32" t="s">
        <v>107</v>
      </c>
      <c r="N6" s="30">
        <v>1</v>
      </c>
      <c r="O6" s="27">
        <v>85</v>
      </c>
      <c r="P6" s="27">
        <v>0</v>
      </c>
      <c r="Q6" s="27">
        <f t="shared" si="0"/>
        <v>85</v>
      </c>
      <c r="R6" s="27" t="str">
        <f t="shared" si="1"/>
        <v>Refill</v>
      </c>
      <c r="S6" t="s">
        <v>1</v>
      </c>
    </row>
    <row r="7" spans="1:19" x14ac:dyDescent="0.3">
      <c r="A7" s="1" t="s">
        <v>138</v>
      </c>
      <c r="B7" s="1" t="s">
        <v>125</v>
      </c>
      <c r="C7" s="1">
        <v>622</v>
      </c>
      <c r="D7" s="16">
        <v>106</v>
      </c>
      <c r="E7" s="6">
        <v>13</v>
      </c>
      <c r="F7" s="12">
        <v>49</v>
      </c>
      <c r="G7" s="5">
        <v>12</v>
      </c>
      <c r="H7" s="5">
        <v>48</v>
      </c>
      <c r="I7" s="5">
        <v>5</v>
      </c>
      <c r="J7" s="5">
        <v>41</v>
      </c>
      <c r="K7" s="5">
        <v>18</v>
      </c>
      <c r="L7" s="5">
        <v>54</v>
      </c>
      <c r="M7" s="27" t="s">
        <v>107</v>
      </c>
      <c r="N7" s="30">
        <v>1</v>
      </c>
      <c r="O7" s="27">
        <v>63</v>
      </c>
      <c r="P7" s="27">
        <v>33</v>
      </c>
      <c r="Q7" s="27">
        <f t="shared" si="0"/>
        <v>96</v>
      </c>
      <c r="R7" s="27" t="str">
        <f t="shared" si="1"/>
        <v>Stock Available</v>
      </c>
      <c r="S7" t="s">
        <v>0</v>
      </c>
    </row>
    <row r="8" spans="1:19" x14ac:dyDescent="0.3">
      <c r="A8" s="1" t="s">
        <v>139</v>
      </c>
      <c r="B8" s="1" t="s">
        <v>125</v>
      </c>
      <c r="C8" s="1">
        <v>5536</v>
      </c>
      <c r="D8" s="16">
        <v>998</v>
      </c>
      <c r="E8" s="6">
        <v>87</v>
      </c>
      <c r="F8" s="12">
        <v>425</v>
      </c>
      <c r="G8" s="5">
        <v>70</v>
      </c>
      <c r="H8" s="5">
        <v>408</v>
      </c>
      <c r="I8" s="5">
        <v>51</v>
      </c>
      <c r="J8" s="5">
        <v>389</v>
      </c>
      <c r="K8" s="5">
        <v>121</v>
      </c>
      <c r="L8" s="5">
        <v>459</v>
      </c>
      <c r="M8" s="27" t="s">
        <v>107</v>
      </c>
      <c r="N8" s="30">
        <v>1</v>
      </c>
      <c r="O8" s="27">
        <v>41</v>
      </c>
      <c r="P8" s="27">
        <v>89</v>
      </c>
      <c r="Q8" s="27">
        <f t="shared" si="0"/>
        <v>130</v>
      </c>
      <c r="R8" s="27" t="str">
        <f t="shared" si="1"/>
        <v>Refill</v>
      </c>
      <c r="S8" t="s">
        <v>99</v>
      </c>
    </row>
    <row r="9" spans="1:19" x14ac:dyDescent="0.3">
      <c r="A9" s="1" t="s">
        <v>140</v>
      </c>
      <c r="B9" s="1" t="s">
        <v>125</v>
      </c>
      <c r="C9" s="1">
        <v>744</v>
      </c>
      <c r="D9" s="16">
        <v>123</v>
      </c>
      <c r="E9" s="6">
        <v>24</v>
      </c>
      <c r="F9" s="12">
        <v>66</v>
      </c>
      <c r="G9" s="5">
        <v>24</v>
      </c>
      <c r="H9" s="5">
        <v>66</v>
      </c>
      <c r="I9" s="5">
        <v>6</v>
      </c>
      <c r="J9" s="5">
        <v>48</v>
      </c>
      <c r="K9" s="5">
        <v>30</v>
      </c>
      <c r="L9" s="5">
        <v>72</v>
      </c>
      <c r="M9" s="32" t="s">
        <v>107</v>
      </c>
      <c r="N9" s="30">
        <v>1</v>
      </c>
      <c r="O9" s="27">
        <v>28</v>
      </c>
      <c r="P9" s="27">
        <v>54</v>
      </c>
      <c r="Q9" s="27">
        <f t="shared" si="0"/>
        <v>82</v>
      </c>
      <c r="R9" s="27" t="str">
        <f t="shared" si="1"/>
        <v>Stock Available</v>
      </c>
    </row>
    <row r="10" spans="1:19" x14ac:dyDescent="0.3">
      <c r="A10" s="1" t="s">
        <v>141</v>
      </c>
      <c r="B10" s="1" t="s">
        <v>125</v>
      </c>
      <c r="C10" s="1">
        <v>316</v>
      </c>
      <c r="D10" s="16">
        <v>56</v>
      </c>
      <c r="E10" s="6">
        <v>4</v>
      </c>
      <c r="F10" s="12">
        <v>23</v>
      </c>
      <c r="G10" s="5">
        <v>3</v>
      </c>
      <c r="H10" s="5">
        <v>22</v>
      </c>
      <c r="I10" s="5">
        <v>3</v>
      </c>
      <c r="J10" s="5">
        <v>22</v>
      </c>
      <c r="K10" s="5">
        <v>6</v>
      </c>
      <c r="L10" s="5">
        <v>25</v>
      </c>
      <c r="M10" s="27" t="s">
        <v>107</v>
      </c>
      <c r="N10" s="30">
        <v>1</v>
      </c>
      <c r="O10" s="27">
        <v>102</v>
      </c>
      <c r="P10" s="27">
        <v>32</v>
      </c>
      <c r="Q10" s="27">
        <f t="shared" si="0"/>
        <v>134</v>
      </c>
      <c r="R10" s="27" t="str">
        <f t="shared" si="1"/>
        <v>Stock Available</v>
      </c>
    </row>
    <row r="11" spans="1:19" x14ac:dyDescent="0.3">
      <c r="A11" s="1" t="s">
        <v>142</v>
      </c>
      <c r="B11" s="1" t="s">
        <v>125</v>
      </c>
      <c r="C11" s="1">
        <v>4735</v>
      </c>
      <c r="D11" s="16">
        <v>788</v>
      </c>
      <c r="E11" s="6">
        <v>113</v>
      </c>
      <c r="F11" s="12">
        <v>380</v>
      </c>
      <c r="G11" s="5">
        <v>106</v>
      </c>
      <c r="H11" s="5">
        <v>373</v>
      </c>
      <c r="I11" s="5">
        <v>40</v>
      </c>
      <c r="J11" s="5">
        <v>307</v>
      </c>
      <c r="K11" s="5">
        <v>146</v>
      </c>
      <c r="L11" s="5">
        <v>413</v>
      </c>
      <c r="M11" s="27" t="s">
        <v>107</v>
      </c>
      <c r="N11" s="30">
        <v>1</v>
      </c>
      <c r="O11" s="27">
        <v>77</v>
      </c>
      <c r="P11" s="27">
        <v>44</v>
      </c>
      <c r="Q11" s="27">
        <f t="shared" si="0"/>
        <v>121</v>
      </c>
      <c r="R11" s="27" t="str">
        <f t="shared" si="1"/>
        <v>Refill</v>
      </c>
    </row>
    <row r="12" spans="1:19" x14ac:dyDescent="0.3">
      <c r="A12" s="1" t="s">
        <v>143</v>
      </c>
      <c r="B12" s="1" t="s">
        <v>125</v>
      </c>
      <c r="C12" s="1">
        <v>692</v>
      </c>
      <c r="D12" s="16">
        <v>107</v>
      </c>
      <c r="E12" s="6">
        <v>9</v>
      </c>
      <c r="F12" s="12">
        <v>45</v>
      </c>
      <c r="G12" s="5">
        <v>7</v>
      </c>
      <c r="H12" s="5">
        <v>43</v>
      </c>
      <c r="I12" s="5">
        <v>5</v>
      </c>
      <c r="J12" s="5">
        <v>41</v>
      </c>
      <c r="K12" s="5">
        <v>12</v>
      </c>
      <c r="L12" s="5">
        <v>48</v>
      </c>
      <c r="M12" s="32" t="s">
        <v>107</v>
      </c>
      <c r="N12" s="30">
        <v>1</v>
      </c>
      <c r="O12" s="27">
        <v>33</v>
      </c>
      <c r="P12" s="27">
        <v>57</v>
      </c>
      <c r="Q12" s="27">
        <f t="shared" si="0"/>
        <v>90</v>
      </c>
      <c r="R12" s="27" t="str">
        <f t="shared" si="1"/>
        <v>Stock Available</v>
      </c>
    </row>
    <row r="13" spans="1:19" x14ac:dyDescent="0.3">
      <c r="A13" s="1" t="s">
        <v>144</v>
      </c>
      <c r="B13" s="1" t="s">
        <v>125</v>
      </c>
      <c r="C13" s="1">
        <v>502</v>
      </c>
      <c r="D13" s="16">
        <v>94</v>
      </c>
      <c r="E13" s="6">
        <v>9</v>
      </c>
      <c r="F13" s="12">
        <v>41</v>
      </c>
      <c r="G13" s="5">
        <v>7</v>
      </c>
      <c r="H13" s="5">
        <v>39</v>
      </c>
      <c r="I13" s="5">
        <v>5</v>
      </c>
      <c r="J13" s="5">
        <v>37</v>
      </c>
      <c r="K13" s="5">
        <v>12</v>
      </c>
      <c r="L13" s="5">
        <v>44</v>
      </c>
      <c r="M13" s="27" t="s">
        <v>107</v>
      </c>
      <c r="N13" s="30">
        <v>1</v>
      </c>
      <c r="O13" s="27">
        <v>64</v>
      </c>
      <c r="P13" s="27">
        <v>0</v>
      </c>
      <c r="Q13" s="27">
        <f t="shared" si="0"/>
        <v>64</v>
      </c>
      <c r="R13" s="27" t="str">
        <f t="shared" si="1"/>
        <v>Stock Available</v>
      </c>
    </row>
    <row r="14" spans="1:19" x14ac:dyDescent="0.3">
      <c r="A14" s="1" t="s">
        <v>145</v>
      </c>
      <c r="B14" s="1" t="s">
        <v>125</v>
      </c>
      <c r="C14" s="1">
        <v>6503</v>
      </c>
      <c r="D14" s="16">
        <v>1105</v>
      </c>
      <c r="E14" s="6">
        <v>100</v>
      </c>
      <c r="F14" s="12">
        <v>474</v>
      </c>
      <c r="G14" s="5">
        <v>83</v>
      </c>
      <c r="H14" s="5">
        <v>457</v>
      </c>
      <c r="I14" s="5">
        <v>56</v>
      </c>
      <c r="J14" s="5">
        <v>430</v>
      </c>
      <c r="K14" s="5">
        <v>139</v>
      </c>
      <c r="L14" s="5">
        <v>513</v>
      </c>
      <c r="M14" s="27" t="s">
        <v>107</v>
      </c>
      <c r="N14" s="30">
        <v>1</v>
      </c>
      <c r="O14" s="27">
        <v>38</v>
      </c>
      <c r="P14" s="27">
        <v>49</v>
      </c>
      <c r="Q14" s="27">
        <f t="shared" si="0"/>
        <v>87</v>
      </c>
      <c r="R14" s="27" t="str">
        <f t="shared" si="1"/>
        <v>Refill</v>
      </c>
    </row>
    <row r="15" spans="1:19" x14ac:dyDescent="0.3">
      <c r="A15" s="1" t="s">
        <v>146</v>
      </c>
      <c r="B15" s="1" t="s">
        <v>125</v>
      </c>
      <c r="C15" s="1">
        <v>832</v>
      </c>
      <c r="D15" s="16">
        <v>133</v>
      </c>
      <c r="E15" s="6">
        <v>21</v>
      </c>
      <c r="F15" s="12">
        <v>66</v>
      </c>
      <c r="G15" s="5">
        <v>20</v>
      </c>
      <c r="H15" s="5">
        <v>65</v>
      </c>
      <c r="I15" s="5">
        <v>7</v>
      </c>
      <c r="J15" s="5">
        <v>52</v>
      </c>
      <c r="K15" s="5">
        <v>27</v>
      </c>
      <c r="L15" s="5">
        <v>72</v>
      </c>
      <c r="M15" s="32" t="s">
        <v>107</v>
      </c>
      <c r="N15" s="30">
        <v>1</v>
      </c>
      <c r="O15" s="27">
        <v>97</v>
      </c>
      <c r="P15" s="27">
        <v>76</v>
      </c>
      <c r="Q15" s="27">
        <f t="shared" si="0"/>
        <v>173</v>
      </c>
      <c r="R15" s="27" t="str">
        <f t="shared" si="1"/>
        <v>Stock Available</v>
      </c>
    </row>
    <row r="16" spans="1:19" x14ac:dyDescent="0.3">
      <c r="A16" s="1" t="s">
        <v>147</v>
      </c>
      <c r="B16" s="1" t="s">
        <v>125</v>
      </c>
      <c r="C16" s="1">
        <v>4188</v>
      </c>
      <c r="D16" s="16">
        <v>672</v>
      </c>
      <c r="E16" s="6">
        <v>141</v>
      </c>
      <c r="F16" s="12">
        <v>369</v>
      </c>
      <c r="G16" s="5">
        <v>137</v>
      </c>
      <c r="H16" s="5">
        <v>365</v>
      </c>
      <c r="I16" s="5">
        <v>34</v>
      </c>
      <c r="J16" s="5">
        <v>262</v>
      </c>
      <c r="K16" s="5">
        <v>172</v>
      </c>
      <c r="L16" s="5">
        <v>400</v>
      </c>
      <c r="M16" s="27" t="s">
        <v>107</v>
      </c>
      <c r="N16" s="30">
        <v>1</v>
      </c>
      <c r="O16" s="27">
        <v>85</v>
      </c>
      <c r="P16" s="27">
        <v>36</v>
      </c>
      <c r="Q16" s="27">
        <f t="shared" si="0"/>
        <v>121</v>
      </c>
      <c r="R16" s="27" t="str">
        <f t="shared" si="1"/>
        <v>Refill</v>
      </c>
    </row>
    <row r="17" spans="1:18" x14ac:dyDescent="0.3">
      <c r="A17" s="1" t="s">
        <v>148</v>
      </c>
      <c r="B17" s="1" t="s">
        <v>125</v>
      </c>
      <c r="C17" s="1">
        <v>4088</v>
      </c>
      <c r="D17" s="16">
        <v>699</v>
      </c>
      <c r="E17" s="6">
        <v>92</v>
      </c>
      <c r="F17" s="12">
        <v>328</v>
      </c>
      <c r="G17" s="5">
        <v>85</v>
      </c>
      <c r="H17" s="5">
        <v>321</v>
      </c>
      <c r="I17" s="5">
        <v>36</v>
      </c>
      <c r="J17" s="5">
        <v>272</v>
      </c>
      <c r="K17" s="5">
        <v>121</v>
      </c>
      <c r="L17" s="5">
        <v>357</v>
      </c>
      <c r="M17" s="27" t="s">
        <v>107</v>
      </c>
      <c r="N17" s="30">
        <v>1</v>
      </c>
      <c r="O17" s="27">
        <v>46</v>
      </c>
      <c r="P17" s="27">
        <v>99</v>
      </c>
      <c r="Q17" s="27">
        <f t="shared" si="0"/>
        <v>145</v>
      </c>
      <c r="R17" s="27" t="str">
        <f t="shared" si="1"/>
        <v>Refill</v>
      </c>
    </row>
    <row r="18" spans="1:18" x14ac:dyDescent="0.3">
      <c r="A18" s="1" t="s">
        <v>149</v>
      </c>
      <c r="B18" s="1" t="s">
        <v>125</v>
      </c>
      <c r="C18" s="1">
        <v>2367</v>
      </c>
      <c r="D18" s="16">
        <v>384</v>
      </c>
      <c r="E18" s="6">
        <v>106</v>
      </c>
      <c r="F18" s="12">
        <v>236</v>
      </c>
      <c r="G18" s="5">
        <v>104</v>
      </c>
      <c r="H18" s="5">
        <v>234</v>
      </c>
      <c r="I18" s="5">
        <v>20</v>
      </c>
      <c r="J18" s="5">
        <v>150</v>
      </c>
      <c r="K18" s="5">
        <v>124</v>
      </c>
      <c r="L18" s="5">
        <v>254</v>
      </c>
      <c r="M18" s="32" t="s">
        <v>107</v>
      </c>
      <c r="N18" s="30">
        <v>1</v>
      </c>
      <c r="O18" s="27">
        <v>75</v>
      </c>
      <c r="P18" s="27">
        <v>88</v>
      </c>
      <c r="Q18" s="27">
        <f t="shared" si="0"/>
        <v>163</v>
      </c>
      <c r="R18" s="27" t="str">
        <f t="shared" si="1"/>
        <v>Refill</v>
      </c>
    </row>
    <row r="19" spans="1:18" x14ac:dyDescent="0.3">
      <c r="A19" s="1" t="s">
        <v>150</v>
      </c>
      <c r="B19" s="1" t="s">
        <v>125</v>
      </c>
      <c r="C19" s="1">
        <v>763</v>
      </c>
      <c r="D19" s="16">
        <v>141</v>
      </c>
      <c r="E19" s="6">
        <v>34</v>
      </c>
      <c r="F19" s="12">
        <v>82</v>
      </c>
      <c r="G19" s="5">
        <v>33</v>
      </c>
      <c r="H19" s="5">
        <v>81</v>
      </c>
      <c r="I19" s="5">
        <v>7</v>
      </c>
      <c r="J19" s="5">
        <v>55</v>
      </c>
      <c r="K19" s="5">
        <v>40</v>
      </c>
      <c r="L19" s="5">
        <v>88</v>
      </c>
      <c r="M19" s="27" t="s">
        <v>107</v>
      </c>
      <c r="N19" s="30">
        <v>1</v>
      </c>
      <c r="O19" s="27">
        <v>23</v>
      </c>
      <c r="P19" s="27">
        <v>120</v>
      </c>
      <c r="Q19" s="27">
        <f t="shared" si="0"/>
        <v>143</v>
      </c>
      <c r="R19" s="27" t="str">
        <f t="shared" si="1"/>
        <v>Stock Available</v>
      </c>
    </row>
    <row r="20" spans="1:18" x14ac:dyDescent="0.3">
      <c r="A20" s="1" t="s">
        <v>151</v>
      </c>
      <c r="B20" s="1" t="s">
        <v>125</v>
      </c>
      <c r="C20" s="1">
        <v>2367</v>
      </c>
      <c r="D20" s="16">
        <v>355</v>
      </c>
      <c r="E20" s="6">
        <v>20</v>
      </c>
      <c r="F20" s="12">
        <v>140</v>
      </c>
      <c r="G20" s="5">
        <v>9</v>
      </c>
      <c r="H20" s="5">
        <v>129</v>
      </c>
      <c r="I20" s="5">
        <v>18</v>
      </c>
      <c r="J20" s="5">
        <v>138</v>
      </c>
      <c r="K20" s="5">
        <v>27</v>
      </c>
      <c r="L20" s="5">
        <v>147</v>
      </c>
      <c r="M20" s="27" t="s">
        <v>107</v>
      </c>
      <c r="N20" s="30">
        <v>1</v>
      </c>
      <c r="O20" s="27">
        <v>48</v>
      </c>
      <c r="P20" s="27">
        <v>33</v>
      </c>
      <c r="Q20" s="27">
        <f t="shared" si="0"/>
        <v>81</v>
      </c>
      <c r="R20" s="27" t="str">
        <f t="shared" si="1"/>
        <v>Refill</v>
      </c>
    </row>
    <row r="21" spans="1:18" x14ac:dyDescent="0.3">
      <c r="A21" s="1" t="s">
        <v>152</v>
      </c>
      <c r="B21" s="1" t="s">
        <v>125</v>
      </c>
      <c r="C21" s="1">
        <v>792</v>
      </c>
      <c r="D21" s="16">
        <v>130</v>
      </c>
      <c r="E21" s="6">
        <v>44</v>
      </c>
      <c r="F21" s="12">
        <v>88</v>
      </c>
      <c r="G21" s="5">
        <v>43</v>
      </c>
      <c r="H21" s="5">
        <v>87</v>
      </c>
      <c r="I21" s="5">
        <v>7</v>
      </c>
      <c r="J21" s="5">
        <v>51</v>
      </c>
      <c r="K21" s="5">
        <v>50</v>
      </c>
      <c r="L21" s="5">
        <v>94</v>
      </c>
      <c r="M21" s="32" t="s">
        <v>107</v>
      </c>
      <c r="N21" s="30">
        <v>1</v>
      </c>
      <c r="O21" s="27">
        <v>90</v>
      </c>
      <c r="P21" s="27">
        <v>22</v>
      </c>
      <c r="Q21" s="27">
        <f t="shared" si="0"/>
        <v>112</v>
      </c>
      <c r="R21" s="27" t="str">
        <f t="shared" si="1"/>
        <v>Stock Available</v>
      </c>
    </row>
    <row r="22" spans="1:18" x14ac:dyDescent="0.3">
      <c r="A22" s="1" t="s">
        <v>153</v>
      </c>
      <c r="B22" s="1" t="s">
        <v>125</v>
      </c>
      <c r="C22" s="1">
        <v>4929</v>
      </c>
      <c r="D22" s="16">
        <v>848</v>
      </c>
      <c r="E22" s="6">
        <v>78</v>
      </c>
      <c r="F22" s="12">
        <v>365</v>
      </c>
      <c r="G22" s="5">
        <v>65</v>
      </c>
      <c r="H22" s="5">
        <v>352</v>
      </c>
      <c r="I22" s="5">
        <v>43</v>
      </c>
      <c r="J22" s="5">
        <v>330</v>
      </c>
      <c r="K22" s="5">
        <v>108</v>
      </c>
      <c r="L22" s="5">
        <v>395</v>
      </c>
      <c r="M22" s="27" t="s">
        <v>107</v>
      </c>
      <c r="N22" s="30">
        <v>1</v>
      </c>
      <c r="O22" s="27">
        <v>88</v>
      </c>
      <c r="P22" s="27">
        <v>45</v>
      </c>
      <c r="Q22" s="27">
        <f t="shared" si="0"/>
        <v>133</v>
      </c>
      <c r="R22" s="27" t="str">
        <f t="shared" si="1"/>
        <v>Refill</v>
      </c>
    </row>
    <row r="23" spans="1:18" x14ac:dyDescent="0.3">
      <c r="A23" s="1" t="s">
        <v>174</v>
      </c>
      <c r="B23" s="1" t="s">
        <v>125</v>
      </c>
      <c r="C23" s="1">
        <v>2776</v>
      </c>
      <c r="D23" s="16">
        <v>362</v>
      </c>
      <c r="E23" s="6">
        <v>41</v>
      </c>
      <c r="F23" s="12">
        <v>164</v>
      </c>
      <c r="G23" s="5">
        <v>36</v>
      </c>
      <c r="H23" s="5">
        <v>159</v>
      </c>
      <c r="I23" s="5">
        <v>18</v>
      </c>
      <c r="J23" s="5">
        <v>141</v>
      </c>
      <c r="K23" s="5">
        <v>55</v>
      </c>
      <c r="L23" s="5">
        <v>178</v>
      </c>
      <c r="M23" s="27" t="s">
        <v>107</v>
      </c>
      <c r="N23" s="30">
        <v>1</v>
      </c>
      <c r="O23" s="27">
        <v>73</v>
      </c>
      <c r="P23" s="27">
        <v>67</v>
      </c>
      <c r="Q23" s="27">
        <f t="shared" si="0"/>
        <v>140</v>
      </c>
      <c r="R23" s="27" t="str">
        <f t="shared" si="1"/>
        <v>Refill</v>
      </c>
    </row>
    <row r="24" spans="1:18" x14ac:dyDescent="0.3">
      <c r="A24" s="1" t="s">
        <v>154</v>
      </c>
      <c r="B24" s="1" t="s">
        <v>125</v>
      </c>
      <c r="C24" s="1">
        <v>360</v>
      </c>
      <c r="D24" s="16">
        <v>41</v>
      </c>
      <c r="E24" s="6">
        <v>12</v>
      </c>
      <c r="F24" s="12">
        <v>26</v>
      </c>
      <c r="G24" s="5">
        <v>11</v>
      </c>
      <c r="H24" s="5">
        <v>25</v>
      </c>
      <c r="I24" s="5">
        <v>2</v>
      </c>
      <c r="J24" s="5">
        <v>16</v>
      </c>
      <c r="K24" s="5">
        <v>14</v>
      </c>
      <c r="L24" s="5">
        <v>28</v>
      </c>
      <c r="M24" s="32" t="s">
        <v>107</v>
      </c>
      <c r="N24" s="30">
        <v>1</v>
      </c>
      <c r="O24" s="27">
        <v>66</v>
      </c>
      <c r="P24" s="27">
        <v>31</v>
      </c>
      <c r="Q24" s="27">
        <f t="shared" si="0"/>
        <v>97</v>
      </c>
      <c r="R24" s="27" t="str">
        <f t="shared" si="1"/>
        <v>Stock Available</v>
      </c>
    </row>
    <row r="25" spans="1:18" x14ac:dyDescent="0.3">
      <c r="A25" s="1" t="s">
        <v>175</v>
      </c>
      <c r="B25" s="1" t="s">
        <v>125</v>
      </c>
      <c r="C25" s="1">
        <v>1940</v>
      </c>
      <c r="D25" s="16">
        <v>301</v>
      </c>
      <c r="E25" s="6">
        <v>62</v>
      </c>
      <c r="F25" s="12">
        <v>164</v>
      </c>
      <c r="G25" s="5">
        <v>60</v>
      </c>
      <c r="H25" s="5">
        <v>162</v>
      </c>
      <c r="I25" s="5">
        <v>15</v>
      </c>
      <c r="J25" s="5">
        <v>117</v>
      </c>
      <c r="K25" s="5">
        <v>75</v>
      </c>
      <c r="L25" s="5">
        <v>177</v>
      </c>
      <c r="M25" s="27" t="s">
        <v>107</v>
      </c>
      <c r="N25" s="30">
        <v>1</v>
      </c>
      <c r="O25" s="27">
        <v>46</v>
      </c>
      <c r="P25" s="27">
        <v>44</v>
      </c>
      <c r="Q25" s="27">
        <f t="shared" si="0"/>
        <v>90</v>
      </c>
      <c r="R25" s="27" t="str">
        <f t="shared" si="1"/>
        <v>Refill</v>
      </c>
    </row>
    <row r="26" spans="1:18" x14ac:dyDescent="0.3">
      <c r="A26" s="1" t="s">
        <v>155</v>
      </c>
      <c r="B26" s="1" t="s">
        <v>126</v>
      </c>
      <c r="C26" s="1">
        <v>2201</v>
      </c>
      <c r="D26" s="20">
        <v>324.33333333333331</v>
      </c>
      <c r="E26" s="5">
        <v>24</v>
      </c>
      <c r="F26" s="5">
        <v>134</v>
      </c>
      <c r="G26" s="5">
        <v>17</v>
      </c>
      <c r="H26" s="5">
        <v>127</v>
      </c>
      <c r="I26" s="5">
        <v>17</v>
      </c>
      <c r="J26" s="5">
        <v>127</v>
      </c>
      <c r="K26" s="6">
        <v>34</v>
      </c>
      <c r="L26" s="6">
        <v>144</v>
      </c>
      <c r="M26" s="29" t="s">
        <v>109</v>
      </c>
      <c r="N26" s="30">
        <v>1</v>
      </c>
      <c r="O26" s="27">
        <v>51</v>
      </c>
      <c r="P26" s="27">
        <v>78</v>
      </c>
      <c r="Q26" s="27">
        <f t="shared" si="0"/>
        <v>129</v>
      </c>
      <c r="R26" s="27" t="str">
        <f>IF(Q26&lt;(L26+L26*10%),"Refill","Stock Available")</f>
        <v>Refill</v>
      </c>
    </row>
    <row r="27" spans="1:18" x14ac:dyDescent="0.3">
      <c r="A27" s="1" t="s">
        <v>156</v>
      </c>
      <c r="B27" s="1" t="s">
        <v>126</v>
      </c>
      <c r="C27" s="1">
        <v>1992</v>
      </c>
      <c r="D27" s="20">
        <v>337.66666666666669</v>
      </c>
      <c r="E27" s="5">
        <v>43</v>
      </c>
      <c r="F27" s="5">
        <v>157</v>
      </c>
      <c r="G27" s="5">
        <v>40</v>
      </c>
      <c r="H27" s="5">
        <v>154</v>
      </c>
      <c r="I27" s="5">
        <v>17</v>
      </c>
      <c r="J27" s="5">
        <v>131</v>
      </c>
      <c r="K27" s="6">
        <v>57</v>
      </c>
      <c r="L27" s="6">
        <v>171</v>
      </c>
      <c r="M27" s="29" t="s">
        <v>109</v>
      </c>
      <c r="N27" s="30">
        <v>1</v>
      </c>
      <c r="O27" s="27">
        <v>73</v>
      </c>
      <c r="P27" s="27">
        <v>100</v>
      </c>
      <c r="Q27" s="27">
        <f t="shared" si="0"/>
        <v>173</v>
      </c>
      <c r="R27" s="27" t="str">
        <f t="shared" ref="R27:R30" si="2">IF(Q27&lt;(L27+L27*10%),"Refill","Stock Available")</f>
        <v>Refill</v>
      </c>
    </row>
    <row r="28" spans="1:18" x14ac:dyDescent="0.3">
      <c r="A28" s="1" t="s">
        <v>157</v>
      </c>
      <c r="B28" s="1" t="s">
        <v>126</v>
      </c>
      <c r="C28" s="1">
        <v>2059</v>
      </c>
      <c r="D28" s="20">
        <v>319.33333333333331</v>
      </c>
      <c r="E28" s="5">
        <v>47</v>
      </c>
      <c r="F28" s="5">
        <v>155</v>
      </c>
      <c r="G28" s="5">
        <v>44</v>
      </c>
      <c r="H28" s="5">
        <v>152</v>
      </c>
      <c r="I28" s="5">
        <v>24</v>
      </c>
      <c r="J28" s="5">
        <v>132</v>
      </c>
      <c r="K28" s="6">
        <v>17</v>
      </c>
      <c r="L28" s="6">
        <v>125</v>
      </c>
      <c r="M28" s="29" t="s">
        <v>109</v>
      </c>
      <c r="N28" s="30">
        <v>1</v>
      </c>
      <c r="O28" s="27">
        <v>98</v>
      </c>
      <c r="P28" s="27">
        <v>200</v>
      </c>
      <c r="Q28" s="27">
        <f t="shared" si="0"/>
        <v>298</v>
      </c>
      <c r="R28" s="27" t="str">
        <f t="shared" si="2"/>
        <v>Stock Available</v>
      </c>
    </row>
    <row r="29" spans="1:18" x14ac:dyDescent="0.3">
      <c r="A29" s="1" t="s">
        <v>158</v>
      </c>
      <c r="B29" s="1" t="s">
        <v>126</v>
      </c>
      <c r="C29" s="1">
        <v>5127</v>
      </c>
      <c r="D29" s="20">
        <v>871.33333333333337</v>
      </c>
      <c r="E29" s="6">
        <v>107</v>
      </c>
      <c r="F29" s="6">
        <v>402</v>
      </c>
      <c r="G29" s="5">
        <v>98</v>
      </c>
      <c r="H29" s="5">
        <v>393</v>
      </c>
      <c r="I29" s="5">
        <v>43</v>
      </c>
      <c r="J29" s="5">
        <v>338</v>
      </c>
      <c r="K29" s="5">
        <v>40</v>
      </c>
      <c r="L29" s="5">
        <v>335</v>
      </c>
      <c r="M29" s="29" t="s">
        <v>107</v>
      </c>
      <c r="N29" s="30">
        <v>1</v>
      </c>
      <c r="O29" s="27">
        <v>77</v>
      </c>
      <c r="P29" s="27">
        <v>35</v>
      </c>
      <c r="Q29" s="27">
        <f t="shared" si="0"/>
        <v>112</v>
      </c>
      <c r="R29" s="27" t="str">
        <f>IF(Q29&lt;(F29+F29*10%),"Refill","Stock Available")</f>
        <v>Refill</v>
      </c>
    </row>
    <row r="30" spans="1:18" x14ac:dyDescent="0.3">
      <c r="A30" s="1" t="s">
        <v>159</v>
      </c>
      <c r="B30" s="1" t="s">
        <v>126</v>
      </c>
      <c r="C30" s="1">
        <v>1345</v>
      </c>
      <c r="D30" s="20">
        <v>200.33333333333334</v>
      </c>
      <c r="E30" s="5">
        <v>53</v>
      </c>
      <c r="F30" s="5">
        <v>121</v>
      </c>
      <c r="G30" s="5">
        <v>52</v>
      </c>
      <c r="H30" s="5">
        <v>120</v>
      </c>
      <c r="I30" s="5">
        <v>47</v>
      </c>
      <c r="J30" s="5">
        <v>115</v>
      </c>
      <c r="K30" s="6">
        <v>44</v>
      </c>
      <c r="L30" s="6">
        <v>112</v>
      </c>
      <c r="M30" s="29" t="s">
        <v>109</v>
      </c>
      <c r="N30" s="30">
        <v>1</v>
      </c>
      <c r="O30" s="27">
        <v>66</v>
      </c>
      <c r="P30" s="27">
        <v>55</v>
      </c>
      <c r="Q30" s="27">
        <f t="shared" si="0"/>
        <v>121</v>
      </c>
      <c r="R30" s="27" t="str">
        <f t="shared" si="2"/>
        <v>Refill</v>
      </c>
    </row>
    <row r="31" spans="1:18" x14ac:dyDescent="0.3">
      <c r="A31" s="1" t="s">
        <v>160</v>
      </c>
      <c r="B31" s="1" t="s">
        <v>127</v>
      </c>
      <c r="C31" s="1">
        <v>300</v>
      </c>
      <c r="D31" s="20">
        <v>52.666666666666664</v>
      </c>
      <c r="E31" s="6">
        <v>11</v>
      </c>
      <c r="F31" s="6">
        <v>29</v>
      </c>
      <c r="G31" s="18">
        <v>10</v>
      </c>
      <c r="H31" s="5">
        <v>28</v>
      </c>
      <c r="I31" s="18">
        <v>3</v>
      </c>
      <c r="J31" s="5">
        <v>21</v>
      </c>
      <c r="K31" s="18">
        <v>13</v>
      </c>
      <c r="L31" s="5">
        <v>31</v>
      </c>
      <c r="M31" s="27" t="s">
        <v>107</v>
      </c>
      <c r="N31" s="30">
        <v>1</v>
      </c>
      <c r="O31" s="27">
        <v>200</v>
      </c>
      <c r="P31" s="27">
        <v>44</v>
      </c>
      <c r="Q31" s="27">
        <f t="shared" si="0"/>
        <v>244</v>
      </c>
      <c r="R31" s="27" t="str">
        <f>IF(Q31&lt;(F31+F31*10%),"Refill","Stock Available")</f>
        <v>Stock Available</v>
      </c>
    </row>
    <row r="32" spans="1:18" x14ac:dyDescent="0.3">
      <c r="A32" s="1" t="s">
        <v>161</v>
      </c>
      <c r="B32" s="1" t="s">
        <v>127</v>
      </c>
      <c r="C32" s="1">
        <v>2811</v>
      </c>
      <c r="D32" s="20">
        <v>503.33333333333331</v>
      </c>
      <c r="E32" s="6">
        <v>80</v>
      </c>
      <c r="F32" s="6">
        <v>250</v>
      </c>
      <c r="G32" s="18">
        <v>76</v>
      </c>
      <c r="H32" s="5">
        <v>246</v>
      </c>
      <c r="I32" s="18">
        <v>26</v>
      </c>
      <c r="J32" s="5">
        <v>196</v>
      </c>
      <c r="K32" s="18">
        <v>102</v>
      </c>
      <c r="L32" s="5">
        <v>272</v>
      </c>
      <c r="M32" s="27" t="s">
        <v>107</v>
      </c>
      <c r="N32" s="30">
        <v>1</v>
      </c>
      <c r="O32" s="27">
        <v>256</v>
      </c>
      <c r="P32" s="27">
        <v>66</v>
      </c>
      <c r="Q32" s="27">
        <f t="shared" si="0"/>
        <v>322</v>
      </c>
      <c r="R32" s="27" t="str">
        <f t="shared" ref="R32:R39" si="3">IF(Q32&lt;(F32+F32*10%),"Refill","Stock Available")</f>
        <v>Stock Available</v>
      </c>
    </row>
    <row r="33" spans="1:18" x14ac:dyDescent="0.3">
      <c r="A33" s="1" t="s">
        <v>162</v>
      </c>
      <c r="B33" s="1" t="s">
        <v>127</v>
      </c>
      <c r="C33" s="1">
        <v>890</v>
      </c>
      <c r="D33" s="20">
        <v>178.66666666666666</v>
      </c>
      <c r="E33" s="6">
        <v>78</v>
      </c>
      <c r="F33" s="6">
        <v>138</v>
      </c>
      <c r="G33" s="18">
        <v>78</v>
      </c>
      <c r="H33" s="5">
        <v>138</v>
      </c>
      <c r="I33" s="18">
        <v>9</v>
      </c>
      <c r="J33" s="5">
        <v>69</v>
      </c>
      <c r="K33" s="18">
        <v>87</v>
      </c>
      <c r="L33" s="5">
        <v>147</v>
      </c>
      <c r="M33" s="27" t="s">
        <v>107</v>
      </c>
      <c r="N33" s="30">
        <v>1</v>
      </c>
      <c r="O33" s="27">
        <v>45</v>
      </c>
      <c r="P33" s="27">
        <v>21</v>
      </c>
      <c r="Q33" s="27">
        <f t="shared" si="0"/>
        <v>66</v>
      </c>
      <c r="R33" s="27" t="str">
        <f t="shared" si="3"/>
        <v>Refill</v>
      </c>
    </row>
    <row r="34" spans="1:18" x14ac:dyDescent="0.3">
      <c r="A34" s="1" t="s">
        <v>163</v>
      </c>
      <c r="B34" s="1" t="s">
        <v>127</v>
      </c>
      <c r="C34" s="1">
        <v>1833</v>
      </c>
      <c r="D34" s="20">
        <v>308.33333333333331</v>
      </c>
      <c r="E34" s="6">
        <v>24</v>
      </c>
      <c r="F34" s="6">
        <v>128</v>
      </c>
      <c r="G34" s="18">
        <v>19</v>
      </c>
      <c r="H34" s="5">
        <v>123</v>
      </c>
      <c r="I34" s="18">
        <v>16</v>
      </c>
      <c r="J34" s="5">
        <v>120</v>
      </c>
      <c r="K34" s="18">
        <v>34</v>
      </c>
      <c r="L34" s="5">
        <v>138</v>
      </c>
      <c r="M34" s="27" t="s">
        <v>107</v>
      </c>
      <c r="N34" s="30">
        <v>1</v>
      </c>
      <c r="O34" s="27">
        <v>47</v>
      </c>
      <c r="P34" s="27">
        <v>66</v>
      </c>
      <c r="Q34" s="27">
        <f t="shared" si="0"/>
        <v>113</v>
      </c>
      <c r="R34" s="27" t="str">
        <f t="shared" si="3"/>
        <v>Refill</v>
      </c>
    </row>
    <row r="35" spans="1:18" x14ac:dyDescent="0.3">
      <c r="A35" s="1" t="s">
        <v>164</v>
      </c>
      <c r="B35" s="1" t="s">
        <v>127</v>
      </c>
      <c r="C35" s="1">
        <v>2048</v>
      </c>
      <c r="D35" s="20">
        <v>300.33333333333331</v>
      </c>
      <c r="E35" s="6">
        <v>40</v>
      </c>
      <c r="F35" s="6">
        <v>142</v>
      </c>
      <c r="G35" s="18">
        <v>37</v>
      </c>
      <c r="H35" s="5">
        <v>139</v>
      </c>
      <c r="I35" s="18">
        <v>15</v>
      </c>
      <c r="J35" s="5">
        <v>117</v>
      </c>
      <c r="K35" s="18">
        <v>52</v>
      </c>
      <c r="L35" s="5">
        <v>154</v>
      </c>
      <c r="M35" s="27" t="s">
        <v>107</v>
      </c>
      <c r="N35" s="30">
        <v>1</v>
      </c>
      <c r="O35" s="27">
        <v>67</v>
      </c>
      <c r="P35" s="27">
        <v>88</v>
      </c>
      <c r="Q35" s="27">
        <f t="shared" si="0"/>
        <v>155</v>
      </c>
      <c r="R35" s="27" t="str">
        <f t="shared" si="3"/>
        <v>Refill</v>
      </c>
    </row>
    <row r="36" spans="1:18" x14ac:dyDescent="0.3">
      <c r="A36" s="1" t="s">
        <v>165</v>
      </c>
      <c r="B36" s="1" t="s">
        <v>127</v>
      </c>
      <c r="C36" s="1">
        <v>1176</v>
      </c>
      <c r="D36" s="20">
        <v>160.66666666666666</v>
      </c>
      <c r="E36" s="6">
        <v>18</v>
      </c>
      <c r="F36" s="6">
        <v>72</v>
      </c>
      <c r="G36" s="18">
        <v>16</v>
      </c>
      <c r="H36" s="5">
        <v>70</v>
      </c>
      <c r="I36" s="18">
        <v>8</v>
      </c>
      <c r="J36" s="5">
        <v>62</v>
      </c>
      <c r="K36" s="18">
        <v>24</v>
      </c>
      <c r="L36" s="5">
        <v>78</v>
      </c>
      <c r="M36" s="27" t="s">
        <v>107</v>
      </c>
      <c r="N36" s="30">
        <v>1</v>
      </c>
      <c r="O36" s="27">
        <v>36</v>
      </c>
      <c r="P36" s="27">
        <v>67</v>
      </c>
      <c r="Q36" s="27">
        <f t="shared" si="0"/>
        <v>103</v>
      </c>
      <c r="R36" s="27" t="str">
        <f t="shared" si="3"/>
        <v>Stock Available</v>
      </c>
    </row>
    <row r="37" spans="1:18" x14ac:dyDescent="0.3">
      <c r="A37" s="1" t="s">
        <v>166</v>
      </c>
      <c r="B37" s="1" t="s">
        <v>127</v>
      </c>
      <c r="C37" s="1">
        <v>2533</v>
      </c>
      <c r="D37" s="20">
        <v>425.66666666666669</v>
      </c>
      <c r="E37" s="6">
        <v>59</v>
      </c>
      <c r="F37" s="6">
        <v>203</v>
      </c>
      <c r="G37" s="18">
        <v>55</v>
      </c>
      <c r="H37" s="5">
        <v>199</v>
      </c>
      <c r="I37" s="18">
        <v>22</v>
      </c>
      <c r="J37" s="5">
        <v>166</v>
      </c>
      <c r="K37" s="18">
        <v>77</v>
      </c>
      <c r="L37" s="5">
        <v>221</v>
      </c>
      <c r="M37" s="27" t="s">
        <v>107</v>
      </c>
      <c r="N37" s="30">
        <v>1</v>
      </c>
      <c r="O37" s="27">
        <v>90</v>
      </c>
      <c r="P37" s="27">
        <v>43</v>
      </c>
      <c r="Q37" s="27">
        <f t="shared" si="0"/>
        <v>133</v>
      </c>
      <c r="R37" s="27" t="str">
        <f t="shared" si="3"/>
        <v>Refill</v>
      </c>
    </row>
    <row r="38" spans="1:18" x14ac:dyDescent="0.3">
      <c r="A38" s="1" t="s">
        <v>167</v>
      </c>
      <c r="B38" s="1" t="s">
        <v>127</v>
      </c>
      <c r="C38" s="1">
        <v>3222</v>
      </c>
      <c r="D38" s="20">
        <v>554.66666666666663</v>
      </c>
      <c r="E38" s="6">
        <v>59</v>
      </c>
      <c r="F38" s="6">
        <v>247</v>
      </c>
      <c r="G38" s="18">
        <v>51</v>
      </c>
      <c r="H38" s="5">
        <v>239</v>
      </c>
      <c r="I38" s="18">
        <v>28</v>
      </c>
      <c r="J38" s="5">
        <v>216</v>
      </c>
      <c r="K38" s="18">
        <v>80</v>
      </c>
      <c r="L38" s="5">
        <v>268</v>
      </c>
      <c r="M38" s="27" t="s">
        <v>107</v>
      </c>
      <c r="N38" s="30">
        <v>1</v>
      </c>
      <c r="O38" s="27">
        <v>99</v>
      </c>
      <c r="P38" s="27">
        <v>22</v>
      </c>
      <c r="Q38" s="27">
        <f t="shared" si="0"/>
        <v>121</v>
      </c>
      <c r="R38" s="27" t="str">
        <f t="shared" si="3"/>
        <v>Refill</v>
      </c>
    </row>
    <row r="39" spans="1:18" x14ac:dyDescent="0.3">
      <c r="A39" s="1" t="s">
        <v>168</v>
      </c>
      <c r="B39" s="1" t="s">
        <v>127</v>
      </c>
      <c r="C39" s="1">
        <v>2041</v>
      </c>
      <c r="D39" s="20">
        <v>332.33333333333331</v>
      </c>
      <c r="E39" s="6">
        <v>53</v>
      </c>
      <c r="F39" s="6">
        <v>165</v>
      </c>
      <c r="G39" s="18">
        <v>50</v>
      </c>
      <c r="H39" s="5">
        <v>162</v>
      </c>
      <c r="I39" s="18">
        <v>17</v>
      </c>
      <c r="J39" s="5">
        <v>129</v>
      </c>
      <c r="K39" s="18">
        <v>67</v>
      </c>
      <c r="L39" s="5">
        <v>179</v>
      </c>
      <c r="M39" s="27" t="s">
        <v>107</v>
      </c>
      <c r="N39" s="30">
        <v>1</v>
      </c>
      <c r="O39" s="27">
        <v>300</v>
      </c>
      <c r="P39" s="27">
        <v>48</v>
      </c>
      <c r="Q39" s="27">
        <f t="shared" si="0"/>
        <v>348</v>
      </c>
      <c r="R39" s="27" t="str">
        <f t="shared" si="3"/>
        <v>Stock Available</v>
      </c>
    </row>
    <row r="40" spans="1:18" x14ac:dyDescent="0.3">
      <c r="A40" s="1" t="s">
        <v>169</v>
      </c>
      <c r="B40" s="1" t="s">
        <v>128</v>
      </c>
      <c r="C40" s="1">
        <v>1328</v>
      </c>
      <c r="D40" s="20">
        <v>215.66666666666666</v>
      </c>
      <c r="E40" s="6">
        <v>29</v>
      </c>
      <c r="F40" s="6">
        <v>102</v>
      </c>
      <c r="G40" s="18">
        <v>27</v>
      </c>
      <c r="H40" s="5">
        <v>100</v>
      </c>
      <c r="I40" s="18">
        <v>11</v>
      </c>
      <c r="J40" s="5">
        <v>84</v>
      </c>
      <c r="K40" s="18">
        <v>38</v>
      </c>
      <c r="L40" s="5">
        <v>111</v>
      </c>
      <c r="M40" s="27" t="s">
        <v>107</v>
      </c>
      <c r="N40" s="30">
        <v>1</v>
      </c>
      <c r="O40" s="27">
        <v>150</v>
      </c>
      <c r="P40" s="27">
        <v>50</v>
      </c>
      <c r="Q40" s="27">
        <f t="shared" si="0"/>
        <v>200</v>
      </c>
      <c r="R40" s="27" t="str">
        <f>IF(Q40&lt;(F40+F40*10%),"Refill","Stock Available")</f>
        <v>Stock Available</v>
      </c>
    </row>
    <row r="41" spans="1:18" x14ac:dyDescent="0.3">
      <c r="A41" s="1" t="s">
        <v>170</v>
      </c>
      <c r="B41" s="1" t="s">
        <v>128</v>
      </c>
      <c r="C41" s="1">
        <v>1258</v>
      </c>
      <c r="D41" s="20">
        <v>232.33333333333334</v>
      </c>
      <c r="E41" s="6">
        <v>55</v>
      </c>
      <c r="F41" s="6">
        <v>134</v>
      </c>
      <c r="G41" s="18">
        <v>53</v>
      </c>
      <c r="H41" s="5">
        <v>132</v>
      </c>
      <c r="I41" s="18">
        <v>12</v>
      </c>
      <c r="J41" s="5">
        <v>91</v>
      </c>
      <c r="K41" s="18">
        <v>65</v>
      </c>
      <c r="L41" s="5">
        <v>144</v>
      </c>
      <c r="M41" s="27" t="s">
        <v>107</v>
      </c>
      <c r="N41" s="30">
        <v>1</v>
      </c>
      <c r="O41" s="27">
        <v>107</v>
      </c>
      <c r="P41" s="27">
        <v>33</v>
      </c>
      <c r="Q41" s="27">
        <f t="shared" si="0"/>
        <v>140</v>
      </c>
      <c r="R41" s="27" t="str">
        <f t="shared" ref="R41:R45" si="4">IF(Q41&lt;(F41+F41*10%),"Refill","Stock Available")</f>
        <v>Refill</v>
      </c>
    </row>
    <row r="42" spans="1:18" x14ac:dyDescent="0.3">
      <c r="A42" s="1" t="s">
        <v>171</v>
      </c>
      <c r="B42" s="1" t="s">
        <v>128</v>
      </c>
      <c r="C42" s="1">
        <v>2329</v>
      </c>
      <c r="D42" s="20">
        <v>378.33333333333331</v>
      </c>
      <c r="E42" s="6">
        <v>22</v>
      </c>
      <c r="F42" s="6">
        <v>150</v>
      </c>
      <c r="G42" s="18">
        <v>11</v>
      </c>
      <c r="H42" s="5">
        <v>139</v>
      </c>
      <c r="I42" s="18">
        <v>19</v>
      </c>
      <c r="J42" s="5">
        <v>147</v>
      </c>
      <c r="K42" s="18">
        <v>31</v>
      </c>
      <c r="L42" s="5">
        <v>159</v>
      </c>
      <c r="M42" s="27" t="s">
        <v>107</v>
      </c>
      <c r="N42" s="30">
        <v>1</v>
      </c>
      <c r="O42" s="27">
        <v>88</v>
      </c>
      <c r="P42" s="27">
        <v>89</v>
      </c>
      <c r="Q42" s="27">
        <f t="shared" si="0"/>
        <v>177</v>
      </c>
      <c r="R42" s="27" t="str">
        <f t="shared" si="4"/>
        <v>Stock Available</v>
      </c>
    </row>
    <row r="43" spans="1:18" x14ac:dyDescent="0.3">
      <c r="A43" s="1" t="s">
        <v>172</v>
      </c>
      <c r="B43" s="1" t="s">
        <v>128</v>
      </c>
      <c r="C43" s="1">
        <v>1165</v>
      </c>
      <c r="D43" s="20">
        <v>198.33333333333334</v>
      </c>
      <c r="E43" s="6">
        <v>36</v>
      </c>
      <c r="F43" s="6">
        <v>103</v>
      </c>
      <c r="G43" s="18">
        <v>35</v>
      </c>
      <c r="H43" s="5">
        <v>102</v>
      </c>
      <c r="I43" s="18">
        <v>10</v>
      </c>
      <c r="J43" s="5">
        <v>77</v>
      </c>
      <c r="K43" s="18">
        <v>45</v>
      </c>
      <c r="L43" s="5">
        <v>112</v>
      </c>
      <c r="M43" s="27" t="s">
        <v>107</v>
      </c>
      <c r="N43" s="30">
        <v>1</v>
      </c>
      <c r="O43" s="27">
        <v>205</v>
      </c>
      <c r="P43" s="27">
        <v>28</v>
      </c>
      <c r="Q43" s="27">
        <f t="shared" si="0"/>
        <v>233</v>
      </c>
      <c r="R43" s="27" t="str">
        <f t="shared" si="4"/>
        <v>Stock Available</v>
      </c>
    </row>
    <row r="44" spans="1:18" x14ac:dyDescent="0.3">
      <c r="A44" s="1" t="s">
        <v>173</v>
      </c>
      <c r="B44" s="1" t="s">
        <v>128</v>
      </c>
      <c r="C44" s="1">
        <v>1254</v>
      </c>
      <c r="D44" s="20">
        <v>203</v>
      </c>
      <c r="E44" s="6">
        <v>35</v>
      </c>
      <c r="F44" s="6">
        <v>104</v>
      </c>
      <c r="G44" s="18">
        <v>33</v>
      </c>
      <c r="H44" s="5">
        <v>102</v>
      </c>
      <c r="I44" s="18">
        <v>10</v>
      </c>
      <c r="J44" s="5">
        <v>79</v>
      </c>
      <c r="K44" s="18">
        <v>44</v>
      </c>
      <c r="L44" s="5">
        <v>113</v>
      </c>
      <c r="M44" s="27" t="s">
        <v>107</v>
      </c>
      <c r="N44" s="30">
        <v>1</v>
      </c>
      <c r="O44" s="27">
        <v>33</v>
      </c>
      <c r="P44" s="27">
        <v>99</v>
      </c>
      <c r="Q44" s="27">
        <f t="shared" si="0"/>
        <v>132</v>
      </c>
      <c r="R44" s="27" t="str">
        <f t="shared" si="4"/>
        <v>Stock Available</v>
      </c>
    </row>
    <row r="45" spans="1:18" x14ac:dyDescent="0.3">
      <c r="A45" s="1" t="s">
        <v>97</v>
      </c>
      <c r="B45" s="1" t="s">
        <v>128</v>
      </c>
      <c r="C45" s="1">
        <v>1228</v>
      </c>
      <c r="D45" s="20">
        <v>281.33333333333331</v>
      </c>
      <c r="E45" s="6">
        <v>65</v>
      </c>
      <c r="F45" s="6">
        <v>160</v>
      </c>
      <c r="G45" s="18">
        <v>63</v>
      </c>
      <c r="H45" s="5">
        <v>158</v>
      </c>
      <c r="I45" s="18">
        <v>14</v>
      </c>
      <c r="J45" s="5">
        <v>109</v>
      </c>
      <c r="K45" s="18">
        <v>77</v>
      </c>
      <c r="L45" s="5">
        <v>172</v>
      </c>
      <c r="M45" s="27" t="s">
        <v>107</v>
      </c>
      <c r="N45" s="30">
        <v>1</v>
      </c>
      <c r="O45" s="27">
        <v>79</v>
      </c>
      <c r="P45" s="27">
        <v>76</v>
      </c>
      <c r="Q45" s="27">
        <f t="shared" si="0"/>
        <v>155</v>
      </c>
      <c r="R45" s="27" t="str">
        <f t="shared" si="4"/>
        <v>Refill</v>
      </c>
    </row>
    <row r="46" spans="1:18" x14ac:dyDescent="0.3">
      <c r="A46" s="1" t="s">
        <v>32</v>
      </c>
      <c r="B46" s="1" t="s">
        <v>129</v>
      </c>
      <c r="C46" s="1">
        <v>16390</v>
      </c>
      <c r="D46" s="20">
        <v>2646.3333333333335</v>
      </c>
      <c r="E46" s="6">
        <v>185</v>
      </c>
      <c r="F46" s="6">
        <v>1081</v>
      </c>
      <c r="G46" s="5">
        <v>127</v>
      </c>
      <c r="H46" s="5">
        <v>1023</v>
      </c>
      <c r="I46" s="18">
        <v>135</v>
      </c>
      <c r="J46" s="5">
        <v>1031</v>
      </c>
      <c r="K46" s="18">
        <v>262</v>
      </c>
      <c r="L46" s="5">
        <v>1158</v>
      </c>
      <c r="M46" s="27" t="s">
        <v>107</v>
      </c>
      <c r="N46" s="33">
        <v>0.9</v>
      </c>
      <c r="O46" s="35">
        <v>49</v>
      </c>
      <c r="P46" s="35">
        <v>55</v>
      </c>
      <c r="Q46" s="27">
        <f t="shared" si="0"/>
        <v>104</v>
      </c>
      <c r="R46" s="35" t="str">
        <f>IF(Q46&lt;(F46+F46*10%),"Refill","Stock Available")</f>
        <v>Refill</v>
      </c>
    </row>
    <row r="47" spans="1:18" x14ac:dyDescent="0.3">
      <c r="A47" s="1" t="s">
        <v>40</v>
      </c>
      <c r="B47" s="1" t="s">
        <v>129</v>
      </c>
      <c r="C47" s="1">
        <v>14140</v>
      </c>
      <c r="D47" s="20">
        <v>2298.3333333333335</v>
      </c>
      <c r="E47" s="6">
        <v>221</v>
      </c>
      <c r="F47" s="6">
        <v>999</v>
      </c>
      <c r="G47" s="5">
        <v>187</v>
      </c>
      <c r="H47" s="5">
        <v>965</v>
      </c>
      <c r="I47" s="18">
        <v>117</v>
      </c>
      <c r="J47" s="5">
        <v>895</v>
      </c>
      <c r="K47" s="18">
        <v>304</v>
      </c>
      <c r="L47" s="5">
        <v>1082</v>
      </c>
      <c r="M47" s="27" t="s">
        <v>107</v>
      </c>
      <c r="N47" s="33">
        <v>0.9</v>
      </c>
      <c r="O47" s="35">
        <v>63</v>
      </c>
      <c r="P47" s="35">
        <v>65</v>
      </c>
      <c r="Q47" s="27">
        <f t="shared" si="0"/>
        <v>128</v>
      </c>
      <c r="R47" s="35" t="str">
        <f t="shared" ref="R47:R81" si="5">IF(Q47&lt;(F47+F47*10%),"Refill","Stock Available")</f>
        <v>Refill</v>
      </c>
    </row>
    <row r="48" spans="1:18" x14ac:dyDescent="0.3">
      <c r="A48" s="1" t="s">
        <v>45</v>
      </c>
      <c r="B48" s="1" t="s">
        <v>129</v>
      </c>
      <c r="C48" s="1">
        <v>10910</v>
      </c>
      <c r="D48" s="20">
        <v>1732.3333333333333</v>
      </c>
      <c r="E48" s="6">
        <v>260</v>
      </c>
      <c r="F48" s="6">
        <v>846</v>
      </c>
      <c r="G48" s="5">
        <v>245</v>
      </c>
      <c r="H48" s="5">
        <v>831</v>
      </c>
      <c r="I48" s="18">
        <v>88</v>
      </c>
      <c r="J48" s="5">
        <v>674</v>
      </c>
      <c r="K48" s="18">
        <v>333</v>
      </c>
      <c r="L48" s="5">
        <v>919</v>
      </c>
      <c r="M48" s="27" t="s">
        <v>107</v>
      </c>
      <c r="N48" s="33">
        <v>0.95</v>
      </c>
      <c r="O48" s="35">
        <v>88</v>
      </c>
      <c r="P48" s="35">
        <v>88</v>
      </c>
      <c r="Q48" s="27">
        <f t="shared" si="0"/>
        <v>176</v>
      </c>
      <c r="R48" s="35" t="str">
        <f t="shared" si="5"/>
        <v>Refill</v>
      </c>
    </row>
    <row r="49" spans="1:18" x14ac:dyDescent="0.3">
      <c r="A49" s="1" t="s">
        <v>37</v>
      </c>
      <c r="B49" s="1" t="s">
        <v>129</v>
      </c>
      <c r="C49" s="1">
        <v>8008</v>
      </c>
      <c r="D49" s="20">
        <v>1257.6666666666667</v>
      </c>
      <c r="E49" s="6">
        <v>173</v>
      </c>
      <c r="F49" s="6">
        <v>599</v>
      </c>
      <c r="G49" s="5">
        <v>160</v>
      </c>
      <c r="H49" s="5">
        <v>586</v>
      </c>
      <c r="I49" s="18">
        <v>64</v>
      </c>
      <c r="J49" s="5">
        <v>490</v>
      </c>
      <c r="K49" s="18">
        <v>224</v>
      </c>
      <c r="L49" s="5">
        <v>650</v>
      </c>
      <c r="M49" s="27" t="s">
        <v>107</v>
      </c>
      <c r="N49" s="33">
        <v>1</v>
      </c>
      <c r="O49" s="35">
        <v>75</v>
      </c>
      <c r="P49" s="35">
        <v>100</v>
      </c>
      <c r="Q49" s="27">
        <f t="shared" si="0"/>
        <v>175</v>
      </c>
      <c r="R49" s="35" t="str">
        <f t="shared" si="5"/>
        <v>Refill</v>
      </c>
    </row>
    <row r="50" spans="1:18" x14ac:dyDescent="0.3">
      <c r="A50" s="1" t="s">
        <v>59</v>
      </c>
      <c r="B50" s="1" t="s">
        <v>129</v>
      </c>
      <c r="C50" s="1">
        <v>7431</v>
      </c>
      <c r="D50" s="20">
        <v>1074.3333333333333</v>
      </c>
      <c r="E50" s="6">
        <v>336</v>
      </c>
      <c r="F50" s="6">
        <v>700</v>
      </c>
      <c r="G50" s="5">
        <v>331</v>
      </c>
      <c r="H50" s="5">
        <v>695</v>
      </c>
      <c r="I50" s="18">
        <v>55</v>
      </c>
      <c r="J50" s="5">
        <v>419</v>
      </c>
      <c r="K50" s="18">
        <v>386</v>
      </c>
      <c r="L50" s="5">
        <v>750</v>
      </c>
      <c r="M50" s="27" t="s">
        <v>107</v>
      </c>
      <c r="N50" s="33">
        <v>1</v>
      </c>
      <c r="O50" s="35">
        <v>65</v>
      </c>
      <c r="P50" s="35">
        <v>43</v>
      </c>
      <c r="Q50" s="27">
        <f t="shared" si="0"/>
        <v>108</v>
      </c>
      <c r="R50" s="35" t="str">
        <f t="shared" si="5"/>
        <v>Refill</v>
      </c>
    </row>
    <row r="51" spans="1:18" x14ac:dyDescent="0.3">
      <c r="A51" s="1" t="s">
        <v>48</v>
      </c>
      <c r="B51" s="1" t="s">
        <v>129</v>
      </c>
      <c r="C51" s="1">
        <v>6267</v>
      </c>
      <c r="D51" s="20">
        <v>1034</v>
      </c>
      <c r="E51" s="6">
        <v>113</v>
      </c>
      <c r="F51" s="6">
        <v>463</v>
      </c>
      <c r="G51" s="5">
        <v>100</v>
      </c>
      <c r="H51" s="5">
        <v>450</v>
      </c>
      <c r="I51" s="18">
        <v>53</v>
      </c>
      <c r="J51" s="5">
        <v>403</v>
      </c>
      <c r="K51" s="18">
        <v>153</v>
      </c>
      <c r="L51" s="5">
        <v>503</v>
      </c>
      <c r="M51" s="27" t="s">
        <v>107</v>
      </c>
      <c r="N51" s="33">
        <v>1</v>
      </c>
      <c r="O51" s="35">
        <v>43</v>
      </c>
      <c r="P51" s="35">
        <v>150</v>
      </c>
      <c r="Q51" s="27">
        <f t="shared" si="0"/>
        <v>193</v>
      </c>
      <c r="R51" s="35" t="str">
        <f t="shared" si="5"/>
        <v>Refill</v>
      </c>
    </row>
    <row r="52" spans="1:18" x14ac:dyDescent="0.3">
      <c r="A52" s="1" t="s">
        <v>51</v>
      </c>
      <c r="B52" s="1" t="s">
        <v>129</v>
      </c>
      <c r="C52" s="1">
        <v>5599</v>
      </c>
      <c r="D52" s="20">
        <v>877.33333333333337</v>
      </c>
      <c r="E52" s="6">
        <v>174</v>
      </c>
      <c r="F52" s="6">
        <v>471</v>
      </c>
      <c r="G52" s="5">
        <v>168</v>
      </c>
      <c r="H52" s="5">
        <v>465</v>
      </c>
      <c r="I52" s="18">
        <v>45</v>
      </c>
      <c r="J52" s="5">
        <v>342</v>
      </c>
      <c r="K52" s="18">
        <v>213</v>
      </c>
      <c r="L52" s="5">
        <v>510</v>
      </c>
      <c r="M52" s="27" t="s">
        <v>107</v>
      </c>
      <c r="N52" s="33">
        <v>1</v>
      </c>
      <c r="O52" s="35">
        <v>23</v>
      </c>
      <c r="P52" s="35">
        <v>400</v>
      </c>
      <c r="Q52" s="27">
        <f t="shared" si="0"/>
        <v>423</v>
      </c>
      <c r="R52" s="35" t="str">
        <f t="shared" si="5"/>
        <v>Refill</v>
      </c>
    </row>
    <row r="53" spans="1:18" x14ac:dyDescent="0.3">
      <c r="A53" s="1" t="s">
        <v>49</v>
      </c>
      <c r="B53" s="1" t="s">
        <v>129</v>
      </c>
      <c r="C53" s="1">
        <v>5067</v>
      </c>
      <c r="D53" s="20">
        <v>749.66666666666663</v>
      </c>
      <c r="E53" s="6">
        <v>176</v>
      </c>
      <c r="F53" s="6">
        <v>430</v>
      </c>
      <c r="G53" s="5">
        <v>172</v>
      </c>
      <c r="H53" s="5">
        <v>426</v>
      </c>
      <c r="I53" s="18">
        <v>38</v>
      </c>
      <c r="J53" s="5">
        <v>292</v>
      </c>
      <c r="K53" s="18">
        <v>210</v>
      </c>
      <c r="L53" s="5">
        <v>464</v>
      </c>
      <c r="M53" s="27" t="s">
        <v>107</v>
      </c>
      <c r="N53" s="33">
        <v>1</v>
      </c>
      <c r="O53" s="35">
        <v>50</v>
      </c>
      <c r="P53" s="35">
        <v>55</v>
      </c>
      <c r="Q53" s="27">
        <f t="shared" si="0"/>
        <v>105</v>
      </c>
      <c r="R53" s="35" t="str">
        <f t="shared" si="5"/>
        <v>Refill</v>
      </c>
    </row>
    <row r="54" spans="1:18" x14ac:dyDescent="0.3">
      <c r="A54" s="1" t="s">
        <v>62</v>
      </c>
      <c r="B54" s="1" t="s">
        <v>129</v>
      </c>
      <c r="C54" s="1">
        <v>3679</v>
      </c>
      <c r="D54" s="20">
        <v>560</v>
      </c>
      <c r="E54" s="6">
        <v>176</v>
      </c>
      <c r="F54" s="6">
        <v>366</v>
      </c>
      <c r="G54" s="5">
        <v>174</v>
      </c>
      <c r="H54" s="5">
        <v>364</v>
      </c>
      <c r="I54" s="18">
        <v>29</v>
      </c>
      <c r="J54" s="5">
        <v>219</v>
      </c>
      <c r="K54" s="18">
        <v>202</v>
      </c>
      <c r="L54" s="5">
        <v>392</v>
      </c>
      <c r="M54" s="27" t="s">
        <v>107</v>
      </c>
      <c r="N54" s="33">
        <v>1</v>
      </c>
      <c r="O54" s="35">
        <v>48</v>
      </c>
      <c r="P54" s="35">
        <v>36</v>
      </c>
      <c r="Q54" s="27">
        <f t="shared" si="0"/>
        <v>84</v>
      </c>
      <c r="R54" s="35" t="str">
        <f t="shared" si="5"/>
        <v>Refill</v>
      </c>
    </row>
    <row r="55" spans="1:18" x14ac:dyDescent="0.3">
      <c r="A55" s="1" t="s">
        <v>56</v>
      </c>
      <c r="B55" s="1" t="s">
        <v>129</v>
      </c>
      <c r="C55" s="1">
        <v>3073</v>
      </c>
      <c r="D55" s="20">
        <v>512.66666666666663</v>
      </c>
      <c r="E55" s="6">
        <v>56</v>
      </c>
      <c r="F55" s="6">
        <v>230</v>
      </c>
      <c r="G55" s="5">
        <v>49</v>
      </c>
      <c r="H55" s="5">
        <v>223</v>
      </c>
      <c r="I55" s="18">
        <v>26</v>
      </c>
      <c r="J55" s="5">
        <v>200</v>
      </c>
      <c r="K55" s="18">
        <v>75</v>
      </c>
      <c r="L55" s="5">
        <v>249</v>
      </c>
      <c r="M55" s="27" t="s">
        <v>107</v>
      </c>
      <c r="N55" s="33">
        <v>1</v>
      </c>
      <c r="O55" s="35">
        <v>35</v>
      </c>
      <c r="P55" s="35">
        <v>44</v>
      </c>
      <c r="Q55" s="27">
        <f t="shared" si="0"/>
        <v>79</v>
      </c>
      <c r="R55" s="35" t="str">
        <f t="shared" si="5"/>
        <v>Refill</v>
      </c>
    </row>
    <row r="56" spans="1:18" x14ac:dyDescent="0.3">
      <c r="A56" s="1" t="s">
        <v>57</v>
      </c>
      <c r="B56" s="1" t="s">
        <v>129</v>
      </c>
      <c r="C56" s="1">
        <v>2875</v>
      </c>
      <c r="D56" s="20">
        <v>468</v>
      </c>
      <c r="E56" s="6">
        <v>26</v>
      </c>
      <c r="F56" s="6">
        <v>184</v>
      </c>
      <c r="G56" s="5">
        <v>10</v>
      </c>
      <c r="H56" s="5">
        <v>168</v>
      </c>
      <c r="I56" s="18">
        <v>24</v>
      </c>
      <c r="J56" s="5">
        <v>182</v>
      </c>
      <c r="K56" s="18">
        <v>34</v>
      </c>
      <c r="L56" s="5">
        <v>192</v>
      </c>
      <c r="M56" s="27" t="s">
        <v>107</v>
      </c>
      <c r="N56" s="33">
        <v>1</v>
      </c>
      <c r="O56" s="35">
        <v>12</v>
      </c>
      <c r="P56" s="35">
        <v>22</v>
      </c>
      <c r="Q56" s="27">
        <f t="shared" si="0"/>
        <v>34</v>
      </c>
      <c r="R56" s="35" t="str">
        <f t="shared" si="5"/>
        <v>Refill</v>
      </c>
    </row>
    <row r="57" spans="1:18" x14ac:dyDescent="0.3">
      <c r="A57" s="1" t="s">
        <v>54</v>
      </c>
      <c r="B57" s="1" t="s">
        <v>129</v>
      </c>
      <c r="C57" s="1">
        <v>2477</v>
      </c>
      <c r="D57" s="20">
        <v>409.33333333333331</v>
      </c>
      <c r="E57" s="6">
        <v>22</v>
      </c>
      <c r="F57" s="6">
        <v>161</v>
      </c>
      <c r="G57" s="5">
        <v>8</v>
      </c>
      <c r="H57" s="5">
        <v>147</v>
      </c>
      <c r="I57" s="18">
        <v>21</v>
      </c>
      <c r="J57" s="5">
        <v>160</v>
      </c>
      <c r="K57" s="18">
        <v>29</v>
      </c>
      <c r="L57" s="5">
        <v>168</v>
      </c>
      <c r="M57" s="27" t="s">
        <v>107</v>
      </c>
      <c r="N57" s="33">
        <v>1</v>
      </c>
      <c r="O57" s="35">
        <v>35</v>
      </c>
      <c r="P57" s="35">
        <v>100</v>
      </c>
      <c r="Q57" s="27">
        <f t="shared" si="0"/>
        <v>135</v>
      </c>
      <c r="R57" s="35" t="str">
        <f t="shared" si="5"/>
        <v>Refill</v>
      </c>
    </row>
    <row r="58" spans="1:18" x14ac:dyDescent="0.3">
      <c r="A58" s="1" t="s">
        <v>61</v>
      </c>
      <c r="B58" s="1" t="s">
        <v>129</v>
      </c>
      <c r="C58" s="1">
        <v>2433</v>
      </c>
      <c r="D58" s="20">
        <v>397</v>
      </c>
      <c r="E58" s="6">
        <v>77</v>
      </c>
      <c r="F58" s="6">
        <v>211</v>
      </c>
      <c r="G58" s="5">
        <v>75</v>
      </c>
      <c r="H58" s="5">
        <v>209</v>
      </c>
      <c r="I58" s="18">
        <v>20</v>
      </c>
      <c r="J58" s="5">
        <v>154</v>
      </c>
      <c r="K58" s="18">
        <v>95</v>
      </c>
      <c r="L58" s="5">
        <v>229</v>
      </c>
      <c r="M58" s="27" t="s">
        <v>107</v>
      </c>
      <c r="N58" s="33">
        <v>1</v>
      </c>
      <c r="O58" s="35">
        <v>120</v>
      </c>
      <c r="P58" s="35">
        <v>1</v>
      </c>
      <c r="Q58" s="27">
        <f t="shared" si="0"/>
        <v>121</v>
      </c>
      <c r="R58" s="35" t="str">
        <f t="shared" si="5"/>
        <v>Refill</v>
      </c>
    </row>
    <row r="59" spans="1:18" x14ac:dyDescent="0.3">
      <c r="A59" s="1" t="s">
        <v>64</v>
      </c>
      <c r="B59" s="1" t="s">
        <v>129</v>
      </c>
      <c r="C59" s="1">
        <v>1742</v>
      </c>
      <c r="D59" s="20">
        <v>283</v>
      </c>
      <c r="E59" s="6">
        <v>30</v>
      </c>
      <c r="F59" s="6">
        <v>126</v>
      </c>
      <c r="G59" s="5">
        <v>27</v>
      </c>
      <c r="H59" s="5">
        <v>123</v>
      </c>
      <c r="I59" s="18">
        <v>14</v>
      </c>
      <c r="J59" s="5">
        <v>110</v>
      </c>
      <c r="K59" s="18">
        <v>41</v>
      </c>
      <c r="L59" s="5">
        <v>137</v>
      </c>
      <c r="M59" s="27" t="s">
        <v>107</v>
      </c>
      <c r="N59" s="33">
        <v>1</v>
      </c>
      <c r="O59" s="35">
        <v>46</v>
      </c>
      <c r="P59" s="35">
        <v>1</v>
      </c>
      <c r="Q59" s="27">
        <f t="shared" si="0"/>
        <v>47</v>
      </c>
      <c r="R59" s="35" t="str">
        <f t="shared" si="5"/>
        <v>Refill</v>
      </c>
    </row>
    <row r="60" spans="1:18" x14ac:dyDescent="0.3">
      <c r="A60" s="1" t="s">
        <v>65</v>
      </c>
      <c r="B60" s="1" t="s">
        <v>129</v>
      </c>
      <c r="C60" s="1">
        <v>1677</v>
      </c>
      <c r="D60" s="20">
        <v>203</v>
      </c>
      <c r="E60" s="6">
        <v>30</v>
      </c>
      <c r="F60" s="6">
        <v>99</v>
      </c>
      <c r="G60" s="5">
        <v>29</v>
      </c>
      <c r="H60" s="5">
        <v>98</v>
      </c>
      <c r="I60" s="18">
        <v>10</v>
      </c>
      <c r="J60" s="5">
        <v>79</v>
      </c>
      <c r="K60" s="18">
        <v>39</v>
      </c>
      <c r="L60" s="5">
        <v>108</v>
      </c>
      <c r="M60" s="27" t="s">
        <v>107</v>
      </c>
      <c r="N60" s="33">
        <v>1</v>
      </c>
      <c r="O60" s="35">
        <v>40</v>
      </c>
      <c r="P60" s="35">
        <v>23</v>
      </c>
      <c r="Q60" s="27">
        <f t="shared" si="0"/>
        <v>63</v>
      </c>
      <c r="R60" s="35" t="str">
        <f t="shared" si="5"/>
        <v>Refill</v>
      </c>
    </row>
    <row r="61" spans="1:18" x14ac:dyDescent="0.3">
      <c r="A61" s="1" t="s">
        <v>43</v>
      </c>
      <c r="B61" s="1" t="s">
        <v>129</v>
      </c>
      <c r="C61" s="1">
        <v>1026</v>
      </c>
      <c r="D61" s="20">
        <v>191</v>
      </c>
      <c r="E61" s="6">
        <v>79</v>
      </c>
      <c r="F61" s="6">
        <v>144</v>
      </c>
      <c r="G61" s="5">
        <v>79</v>
      </c>
      <c r="H61" s="5">
        <v>144</v>
      </c>
      <c r="I61" s="18">
        <v>10</v>
      </c>
      <c r="J61" s="5">
        <v>75</v>
      </c>
      <c r="K61" s="18">
        <v>88</v>
      </c>
      <c r="L61" s="5">
        <v>153</v>
      </c>
      <c r="M61" s="27" t="s">
        <v>107</v>
      </c>
      <c r="N61" s="33">
        <v>1</v>
      </c>
      <c r="O61" s="35">
        <v>98</v>
      </c>
      <c r="P61" s="35">
        <v>66</v>
      </c>
      <c r="Q61" s="27">
        <f t="shared" si="0"/>
        <v>164</v>
      </c>
      <c r="R61" s="35" t="str">
        <f t="shared" si="5"/>
        <v>Stock Available</v>
      </c>
    </row>
    <row r="62" spans="1:18" x14ac:dyDescent="0.3">
      <c r="A62" s="1" t="s">
        <v>30</v>
      </c>
      <c r="B62" s="1" t="s">
        <v>129</v>
      </c>
      <c r="C62" s="1">
        <v>918</v>
      </c>
      <c r="D62" s="20">
        <v>150.66666666666666</v>
      </c>
      <c r="E62" s="6">
        <v>37</v>
      </c>
      <c r="F62" s="6">
        <v>88</v>
      </c>
      <c r="G62" s="5">
        <v>37</v>
      </c>
      <c r="H62" s="5">
        <v>88</v>
      </c>
      <c r="I62" s="18">
        <v>8</v>
      </c>
      <c r="J62" s="5">
        <v>59</v>
      </c>
      <c r="K62" s="18">
        <v>44</v>
      </c>
      <c r="L62" s="5">
        <v>95</v>
      </c>
      <c r="M62" s="27" t="s">
        <v>111</v>
      </c>
      <c r="N62" s="33">
        <v>1</v>
      </c>
      <c r="O62" s="35">
        <v>42</v>
      </c>
      <c r="P62" s="35">
        <v>33</v>
      </c>
      <c r="Q62" s="27">
        <f t="shared" si="0"/>
        <v>75</v>
      </c>
      <c r="R62" s="35" t="str">
        <f t="shared" si="5"/>
        <v>Refill</v>
      </c>
    </row>
    <row r="63" spans="1:18" x14ac:dyDescent="0.3">
      <c r="A63" s="1" t="s">
        <v>33</v>
      </c>
      <c r="B63" s="1" t="s">
        <v>129</v>
      </c>
      <c r="C63" s="1">
        <v>756</v>
      </c>
      <c r="D63" s="20">
        <v>143.33333333333334</v>
      </c>
      <c r="E63" s="6">
        <v>60</v>
      </c>
      <c r="F63" s="6">
        <v>109</v>
      </c>
      <c r="G63" s="5">
        <v>59</v>
      </c>
      <c r="H63" s="5">
        <v>108</v>
      </c>
      <c r="I63" s="18">
        <v>7</v>
      </c>
      <c r="J63" s="5">
        <v>56</v>
      </c>
      <c r="K63" s="18">
        <v>66</v>
      </c>
      <c r="L63" s="5">
        <v>115</v>
      </c>
      <c r="M63" s="27" t="s">
        <v>107</v>
      </c>
      <c r="N63" s="33">
        <v>1</v>
      </c>
      <c r="O63" s="35">
        <v>61</v>
      </c>
      <c r="P63" s="35">
        <v>23</v>
      </c>
      <c r="Q63" s="27">
        <f t="shared" si="0"/>
        <v>84</v>
      </c>
      <c r="R63" s="35" t="str">
        <f t="shared" si="5"/>
        <v>Refill</v>
      </c>
    </row>
    <row r="64" spans="1:18" x14ac:dyDescent="0.3">
      <c r="A64" s="1" t="s">
        <v>41</v>
      </c>
      <c r="B64" s="1" t="s">
        <v>129</v>
      </c>
      <c r="C64" s="1">
        <v>601</v>
      </c>
      <c r="D64" s="20">
        <v>127</v>
      </c>
      <c r="E64" s="6">
        <v>18</v>
      </c>
      <c r="F64" s="6">
        <v>61</v>
      </c>
      <c r="G64" s="5">
        <v>17</v>
      </c>
      <c r="H64" s="5">
        <v>60</v>
      </c>
      <c r="I64" s="18">
        <v>6</v>
      </c>
      <c r="J64" s="5">
        <v>49</v>
      </c>
      <c r="K64" s="18">
        <v>23</v>
      </c>
      <c r="L64" s="5">
        <v>66</v>
      </c>
      <c r="M64" s="27" t="s">
        <v>107</v>
      </c>
      <c r="N64" s="33">
        <v>1</v>
      </c>
      <c r="O64" s="35">
        <v>50</v>
      </c>
      <c r="P64" s="35">
        <v>21</v>
      </c>
      <c r="Q64" s="27">
        <f t="shared" si="0"/>
        <v>71</v>
      </c>
      <c r="R64" s="35" t="str">
        <f t="shared" si="5"/>
        <v>Stock Available</v>
      </c>
    </row>
    <row r="65" spans="1:18" x14ac:dyDescent="0.3">
      <c r="A65" s="1" t="s">
        <v>42</v>
      </c>
      <c r="B65" s="1" t="s">
        <v>129</v>
      </c>
      <c r="C65" s="1">
        <v>468</v>
      </c>
      <c r="D65" s="20">
        <v>124</v>
      </c>
      <c r="E65" s="6">
        <v>50</v>
      </c>
      <c r="F65" s="6">
        <v>92</v>
      </c>
      <c r="G65" s="5">
        <v>50</v>
      </c>
      <c r="H65" s="5">
        <v>92</v>
      </c>
      <c r="I65" s="18">
        <v>6</v>
      </c>
      <c r="J65" s="5">
        <v>48</v>
      </c>
      <c r="K65" s="18">
        <v>56</v>
      </c>
      <c r="L65" s="5">
        <v>98</v>
      </c>
      <c r="M65" s="27" t="s">
        <v>107</v>
      </c>
      <c r="N65" s="33">
        <v>1</v>
      </c>
      <c r="O65" s="35">
        <v>32</v>
      </c>
      <c r="P65" s="35">
        <v>98</v>
      </c>
      <c r="Q65" s="27">
        <f t="shared" si="0"/>
        <v>130</v>
      </c>
      <c r="R65" s="35" t="str">
        <f t="shared" si="5"/>
        <v>Stock Available</v>
      </c>
    </row>
    <row r="66" spans="1:18" x14ac:dyDescent="0.3">
      <c r="A66" s="1" t="s">
        <v>47</v>
      </c>
      <c r="B66" s="1" t="s">
        <v>129</v>
      </c>
      <c r="C66" s="1">
        <v>506</v>
      </c>
      <c r="D66" s="20">
        <v>121.33333333333333</v>
      </c>
      <c r="E66" s="6">
        <v>51</v>
      </c>
      <c r="F66" s="6">
        <v>92</v>
      </c>
      <c r="G66" s="5">
        <v>51</v>
      </c>
      <c r="H66" s="5">
        <v>92</v>
      </c>
      <c r="I66" s="18">
        <v>6</v>
      </c>
      <c r="J66" s="5">
        <v>47</v>
      </c>
      <c r="K66" s="18">
        <v>57</v>
      </c>
      <c r="L66" s="5">
        <v>98</v>
      </c>
      <c r="M66" s="27" t="s">
        <v>107</v>
      </c>
      <c r="N66" s="33">
        <v>1</v>
      </c>
      <c r="O66" s="35">
        <v>44</v>
      </c>
      <c r="P66" s="35">
        <v>87</v>
      </c>
      <c r="Q66" s="27">
        <f t="shared" si="0"/>
        <v>131</v>
      </c>
      <c r="R66" s="35" t="str">
        <f t="shared" si="5"/>
        <v>Stock Available</v>
      </c>
    </row>
    <row r="67" spans="1:18" x14ac:dyDescent="0.3">
      <c r="A67" s="1" t="s">
        <v>58</v>
      </c>
      <c r="B67" s="1" t="s">
        <v>129</v>
      </c>
      <c r="C67" s="1">
        <v>701</v>
      </c>
      <c r="D67" s="20">
        <v>120.33333333333333</v>
      </c>
      <c r="E67" s="6">
        <v>8</v>
      </c>
      <c r="F67" s="6">
        <v>49</v>
      </c>
      <c r="G67" s="5">
        <v>5</v>
      </c>
      <c r="H67" s="5">
        <v>46</v>
      </c>
      <c r="I67" s="18">
        <v>6</v>
      </c>
      <c r="J67" s="5">
        <v>47</v>
      </c>
      <c r="K67" s="18">
        <v>12</v>
      </c>
      <c r="L67" s="5">
        <v>53</v>
      </c>
      <c r="M67" s="27" t="s">
        <v>107</v>
      </c>
      <c r="N67" s="33">
        <v>1</v>
      </c>
      <c r="O67" s="35">
        <v>56</v>
      </c>
      <c r="P67" s="35">
        <v>77</v>
      </c>
      <c r="Q67" s="27">
        <f t="shared" si="0"/>
        <v>133</v>
      </c>
      <c r="R67" s="35" t="str">
        <f t="shared" si="5"/>
        <v>Stock Available</v>
      </c>
    </row>
    <row r="68" spans="1:18" x14ac:dyDescent="0.3">
      <c r="A68" s="1" t="s">
        <v>52</v>
      </c>
      <c r="B68" s="1" t="s">
        <v>129</v>
      </c>
      <c r="C68" s="1">
        <v>624</v>
      </c>
      <c r="D68" s="20">
        <v>118.66666666666667</v>
      </c>
      <c r="E68" s="6">
        <v>14</v>
      </c>
      <c r="F68" s="6">
        <v>54</v>
      </c>
      <c r="G68" s="5">
        <v>13</v>
      </c>
      <c r="H68" s="5">
        <v>53</v>
      </c>
      <c r="I68" s="18">
        <v>6</v>
      </c>
      <c r="J68" s="5">
        <v>46</v>
      </c>
      <c r="K68" s="18">
        <v>19</v>
      </c>
      <c r="L68" s="5">
        <v>59</v>
      </c>
      <c r="M68" s="27" t="s">
        <v>107</v>
      </c>
      <c r="N68" s="33">
        <v>1</v>
      </c>
      <c r="O68" s="35">
        <v>14</v>
      </c>
      <c r="P68" s="35">
        <v>88</v>
      </c>
      <c r="Q68" s="27">
        <f t="shared" ref="Q68:Q107" si="6">SUM(O68:P68)</f>
        <v>102</v>
      </c>
      <c r="R68" s="35" t="str">
        <f t="shared" si="5"/>
        <v>Stock Available</v>
      </c>
    </row>
    <row r="69" spans="1:18" x14ac:dyDescent="0.3">
      <c r="A69" s="1" t="s">
        <v>46</v>
      </c>
      <c r="B69" s="1" t="s">
        <v>129</v>
      </c>
      <c r="C69" s="1">
        <v>522</v>
      </c>
      <c r="D69" s="20">
        <v>115.33333333333333</v>
      </c>
      <c r="E69" s="6">
        <v>15</v>
      </c>
      <c r="F69" s="6">
        <v>54</v>
      </c>
      <c r="G69" s="5">
        <v>14</v>
      </c>
      <c r="H69" s="5">
        <v>53</v>
      </c>
      <c r="I69" s="18">
        <v>6</v>
      </c>
      <c r="J69" s="5">
        <v>45</v>
      </c>
      <c r="K69" s="18">
        <v>20</v>
      </c>
      <c r="L69" s="5">
        <v>59</v>
      </c>
      <c r="M69" s="27" t="s">
        <v>107</v>
      </c>
      <c r="N69" s="33">
        <v>1</v>
      </c>
      <c r="O69" s="35">
        <v>35</v>
      </c>
      <c r="P69" s="35">
        <v>76</v>
      </c>
      <c r="Q69" s="27">
        <f t="shared" si="6"/>
        <v>111</v>
      </c>
      <c r="R69" s="35" t="str">
        <f t="shared" si="5"/>
        <v>Stock Available</v>
      </c>
    </row>
    <row r="70" spans="1:18" x14ac:dyDescent="0.3">
      <c r="A70" s="1" t="s">
        <v>44</v>
      </c>
      <c r="B70" s="1" t="s">
        <v>129</v>
      </c>
      <c r="C70" s="1">
        <v>583</v>
      </c>
      <c r="D70" s="20">
        <v>98</v>
      </c>
      <c r="E70" s="6">
        <v>26</v>
      </c>
      <c r="F70" s="6">
        <v>59</v>
      </c>
      <c r="G70" s="5">
        <v>26</v>
      </c>
      <c r="H70" s="5">
        <v>59</v>
      </c>
      <c r="I70" s="18">
        <v>5</v>
      </c>
      <c r="J70" s="5">
        <v>38</v>
      </c>
      <c r="K70" s="18">
        <v>31</v>
      </c>
      <c r="L70" s="5">
        <v>64</v>
      </c>
      <c r="M70" s="27" t="s">
        <v>107</v>
      </c>
      <c r="N70" s="33">
        <v>1</v>
      </c>
      <c r="O70" s="35">
        <v>55</v>
      </c>
      <c r="P70" s="35">
        <v>54</v>
      </c>
      <c r="Q70" s="27">
        <f t="shared" si="6"/>
        <v>109</v>
      </c>
      <c r="R70" s="35" t="str">
        <f t="shared" si="5"/>
        <v>Stock Available</v>
      </c>
    </row>
    <row r="71" spans="1:18" x14ac:dyDescent="0.3">
      <c r="A71" s="1" t="s">
        <v>60</v>
      </c>
      <c r="B71" s="1" t="s">
        <v>129</v>
      </c>
      <c r="C71" s="1">
        <v>453</v>
      </c>
      <c r="D71" s="20">
        <v>84</v>
      </c>
      <c r="E71" s="6">
        <v>24</v>
      </c>
      <c r="F71" s="6">
        <v>52</v>
      </c>
      <c r="G71" s="5">
        <v>23</v>
      </c>
      <c r="H71" s="5">
        <v>51</v>
      </c>
      <c r="I71" s="18">
        <v>4</v>
      </c>
      <c r="J71" s="5">
        <v>32</v>
      </c>
      <c r="K71" s="18">
        <v>28</v>
      </c>
      <c r="L71" s="5">
        <v>56</v>
      </c>
      <c r="M71" s="27" t="s">
        <v>107</v>
      </c>
      <c r="N71" s="33">
        <v>1</v>
      </c>
      <c r="O71" s="35">
        <v>34</v>
      </c>
      <c r="P71" s="35">
        <v>66</v>
      </c>
      <c r="Q71" s="27">
        <f t="shared" si="6"/>
        <v>100</v>
      </c>
      <c r="R71" s="35" t="str">
        <f t="shared" si="5"/>
        <v>Stock Available</v>
      </c>
    </row>
    <row r="72" spans="1:18" x14ac:dyDescent="0.3">
      <c r="A72" s="1" t="s">
        <v>31</v>
      </c>
      <c r="B72" s="1" t="s">
        <v>129</v>
      </c>
      <c r="C72" s="1">
        <v>476</v>
      </c>
      <c r="D72" s="20">
        <v>78.666666666666671</v>
      </c>
      <c r="E72" s="6">
        <v>7</v>
      </c>
      <c r="F72" s="6">
        <v>34</v>
      </c>
      <c r="G72" s="5">
        <v>5</v>
      </c>
      <c r="H72" s="5">
        <v>32</v>
      </c>
      <c r="I72" s="18">
        <v>4</v>
      </c>
      <c r="J72" s="5">
        <v>31</v>
      </c>
      <c r="K72" s="18">
        <v>10</v>
      </c>
      <c r="L72" s="5">
        <v>37</v>
      </c>
      <c r="M72" s="27" t="s">
        <v>107</v>
      </c>
      <c r="N72" s="33">
        <v>1</v>
      </c>
      <c r="O72" s="35">
        <v>32</v>
      </c>
      <c r="P72" s="35">
        <v>89</v>
      </c>
      <c r="Q72" s="27">
        <f t="shared" si="6"/>
        <v>121</v>
      </c>
      <c r="R72" s="35" t="str">
        <f t="shared" si="5"/>
        <v>Stock Available</v>
      </c>
    </row>
    <row r="73" spans="1:18" x14ac:dyDescent="0.3">
      <c r="A73" s="1" t="s">
        <v>34</v>
      </c>
      <c r="B73" s="1" t="s">
        <v>129</v>
      </c>
      <c r="C73" s="1">
        <v>321</v>
      </c>
      <c r="D73" s="20">
        <v>61.666666666666664</v>
      </c>
      <c r="E73" s="6">
        <v>23</v>
      </c>
      <c r="F73" s="6">
        <v>44</v>
      </c>
      <c r="G73" s="5">
        <v>23</v>
      </c>
      <c r="H73" s="5">
        <v>44</v>
      </c>
      <c r="I73" s="18">
        <v>3</v>
      </c>
      <c r="J73" s="5">
        <v>24</v>
      </c>
      <c r="K73" s="18">
        <v>26</v>
      </c>
      <c r="L73" s="5">
        <v>47</v>
      </c>
      <c r="M73" s="27" t="s">
        <v>107</v>
      </c>
      <c r="N73" s="33">
        <v>1</v>
      </c>
      <c r="O73" s="35">
        <v>98</v>
      </c>
      <c r="P73" s="35">
        <v>90</v>
      </c>
      <c r="Q73" s="27">
        <f t="shared" si="6"/>
        <v>188</v>
      </c>
      <c r="R73" s="35" t="str">
        <f t="shared" si="5"/>
        <v>Stock Available</v>
      </c>
    </row>
    <row r="74" spans="1:18" x14ac:dyDescent="0.3">
      <c r="A74" s="1" t="s">
        <v>50</v>
      </c>
      <c r="B74" s="1" t="s">
        <v>129</v>
      </c>
      <c r="C74" s="1">
        <v>340</v>
      </c>
      <c r="D74" s="20">
        <v>51</v>
      </c>
      <c r="E74" s="6">
        <v>20</v>
      </c>
      <c r="F74" s="6">
        <v>37</v>
      </c>
      <c r="G74" s="5">
        <v>20</v>
      </c>
      <c r="H74" s="5">
        <v>37</v>
      </c>
      <c r="I74" s="18">
        <v>3</v>
      </c>
      <c r="J74" s="5">
        <v>20</v>
      </c>
      <c r="K74" s="18">
        <v>22</v>
      </c>
      <c r="L74" s="5">
        <v>39</v>
      </c>
      <c r="M74" s="27" t="s">
        <v>107</v>
      </c>
      <c r="N74" s="33">
        <v>1</v>
      </c>
      <c r="O74" s="35">
        <v>35</v>
      </c>
      <c r="P74" s="35">
        <v>46</v>
      </c>
      <c r="Q74" s="27">
        <f t="shared" si="6"/>
        <v>81</v>
      </c>
      <c r="R74" s="35" t="str">
        <f t="shared" si="5"/>
        <v>Stock Available</v>
      </c>
    </row>
    <row r="75" spans="1:18" x14ac:dyDescent="0.3">
      <c r="A75" s="1" t="s">
        <v>38</v>
      </c>
      <c r="B75" s="1" t="s">
        <v>129</v>
      </c>
      <c r="C75" s="1">
        <v>223</v>
      </c>
      <c r="D75" s="20">
        <v>44.333333333333336</v>
      </c>
      <c r="E75" s="6">
        <v>42</v>
      </c>
      <c r="F75" s="6">
        <v>57</v>
      </c>
      <c r="G75" s="5">
        <v>42</v>
      </c>
      <c r="H75" s="5">
        <v>57</v>
      </c>
      <c r="I75" s="18">
        <v>2</v>
      </c>
      <c r="J75" s="5">
        <v>17</v>
      </c>
      <c r="K75" s="18">
        <v>44</v>
      </c>
      <c r="L75" s="5">
        <v>59</v>
      </c>
      <c r="M75" s="27" t="s">
        <v>107</v>
      </c>
      <c r="N75" s="33">
        <v>1</v>
      </c>
      <c r="O75" s="35">
        <v>50</v>
      </c>
      <c r="P75" s="35">
        <v>32</v>
      </c>
      <c r="Q75" s="27">
        <f t="shared" si="6"/>
        <v>82</v>
      </c>
      <c r="R75" s="35" t="str">
        <f t="shared" si="5"/>
        <v>Stock Available</v>
      </c>
    </row>
    <row r="76" spans="1:18" x14ac:dyDescent="0.3">
      <c r="A76" s="1" t="s">
        <v>55</v>
      </c>
      <c r="B76" s="1" t="s">
        <v>129</v>
      </c>
      <c r="C76" s="1">
        <v>350</v>
      </c>
      <c r="D76" s="20">
        <v>42.333333333333336</v>
      </c>
      <c r="E76" s="6">
        <v>3</v>
      </c>
      <c r="F76" s="6">
        <v>17</v>
      </c>
      <c r="G76" s="5">
        <v>2</v>
      </c>
      <c r="H76" s="5">
        <v>16</v>
      </c>
      <c r="I76" s="18">
        <v>2</v>
      </c>
      <c r="J76" s="5">
        <v>16</v>
      </c>
      <c r="K76" s="18">
        <v>4</v>
      </c>
      <c r="L76" s="5">
        <v>18</v>
      </c>
      <c r="M76" s="27" t="s">
        <v>107</v>
      </c>
      <c r="N76" s="33">
        <v>1</v>
      </c>
      <c r="O76" s="35">
        <v>10</v>
      </c>
      <c r="P76" s="35">
        <v>67</v>
      </c>
      <c r="Q76" s="27">
        <f t="shared" si="6"/>
        <v>77</v>
      </c>
      <c r="R76" s="35" t="str">
        <f t="shared" si="5"/>
        <v>Stock Available</v>
      </c>
    </row>
    <row r="77" spans="1:18" x14ac:dyDescent="0.3">
      <c r="A77" s="1" t="s">
        <v>63</v>
      </c>
      <c r="B77" s="1" t="s">
        <v>129</v>
      </c>
      <c r="C77" s="1">
        <v>352</v>
      </c>
      <c r="D77" s="20">
        <v>42.333333333333336</v>
      </c>
      <c r="E77" s="6">
        <v>21</v>
      </c>
      <c r="F77" s="6">
        <v>35</v>
      </c>
      <c r="G77" s="5">
        <v>21</v>
      </c>
      <c r="H77" s="5">
        <v>35</v>
      </c>
      <c r="I77" s="18">
        <v>2</v>
      </c>
      <c r="J77" s="5">
        <v>16</v>
      </c>
      <c r="K77" s="18">
        <v>23</v>
      </c>
      <c r="L77" s="5">
        <v>37</v>
      </c>
      <c r="M77" s="27" t="s">
        <v>107</v>
      </c>
      <c r="N77" s="33">
        <v>1</v>
      </c>
      <c r="O77" s="35">
        <v>55</v>
      </c>
      <c r="P77" s="35">
        <v>87</v>
      </c>
      <c r="Q77" s="27">
        <f t="shared" si="6"/>
        <v>142</v>
      </c>
      <c r="R77" s="35" t="str">
        <f t="shared" si="5"/>
        <v>Stock Available</v>
      </c>
    </row>
    <row r="78" spans="1:18" x14ac:dyDescent="0.3">
      <c r="A78" s="1" t="s">
        <v>35</v>
      </c>
      <c r="B78" s="1" t="s">
        <v>129</v>
      </c>
      <c r="C78" s="1">
        <v>106</v>
      </c>
      <c r="D78" s="20">
        <v>22</v>
      </c>
      <c r="E78" s="6">
        <v>25</v>
      </c>
      <c r="F78" s="6">
        <v>32</v>
      </c>
      <c r="G78" s="5">
        <v>25</v>
      </c>
      <c r="H78" s="5">
        <v>32</v>
      </c>
      <c r="I78" s="18">
        <v>1</v>
      </c>
      <c r="J78" s="5">
        <v>8</v>
      </c>
      <c r="K78" s="18">
        <v>26</v>
      </c>
      <c r="L78" s="5">
        <v>33</v>
      </c>
      <c r="M78" s="27" t="s">
        <v>107</v>
      </c>
      <c r="N78" s="33">
        <v>1</v>
      </c>
      <c r="O78" s="35">
        <v>34</v>
      </c>
      <c r="P78" s="35">
        <v>98</v>
      </c>
      <c r="Q78" s="27">
        <f t="shared" si="6"/>
        <v>132</v>
      </c>
      <c r="R78" s="35" t="str">
        <f t="shared" si="5"/>
        <v>Stock Available</v>
      </c>
    </row>
    <row r="79" spans="1:18" x14ac:dyDescent="0.3">
      <c r="A79" s="1" t="s">
        <v>53</v>
      </c>
      <c r="B79" s="1" t="s">
        <v>129</v>
      </c>
      <c r="C79" s="1">
        <v>159</v>
      </c>
      <c r="D79" s="20">
        <v>20.666666666666668</v>
      </c>
      <c r="E79" s="6">
        <v>3</v>
      </c>
      <c r="F79" s="6">
        <v>10</v>
      </c>
      <c r="G79" s="5">
        <v>3</v>
      </c>
      <c r="H79" s="5">
        <v>10</v>
      </c>
      <c r="I79" s="18">
        <v>1</v>
      </c>
      <c r="J79" s="5">
        <v>8</v>
      </c>
      <c r="K79" s="18">
        <v>4</v>
      </c>
      <c r="L79" s="5">
        <v>11</v>
      </c>
      <c r="M79" s="27" t="s">
        <v>107</v>
      </c>
      <c r="N79" s="33">
        <v>1</v>
      </c>
      <c r="O79" s="35">
        <v>16</v>
      </c>
      <c r="P79" s="35">
        <v>66</v>
      </c>
      <c r="Q79" s="27">
        <f t="shared" si="6"/>
        <v>82</v>
      </c>
      <c r="R79" s="35" t="str">
        <f t="shared" si="5"/>
        <v>Stock Available</v>
      </c>
    </row>
    <row r="80" spans="1:18" x14ac:dyDescent="0.3">
      <c r="A80" s="1" t="s">
        <v>39</v>
      </c>
      <c r="B80" s="1" t="s">
        <v>129</v>
      </c>
      <c r="C80" s="1">
        <v>64</v>
      </c>
      <c r="D80" s="20">
        <v>8</v>
      </c>
      <c r="E80" s="6">
        <v>9</v>
      </c>
      <c r="F80" s="6">
        <v>12</v>
      </c>
      <c r="G80" s="5">
        <v>9</v>
      </c>
      <c r="H80" s="5">
        <v>12</v>
      </c>
      <c r="I80" s="18">
        <v>0</v>
      </c>
      <c r="J80" s="5">
        <v>3</v>
      </c>
      <c r="K80" s="18">
        <v>9</v>
      </c>
      <c r="L80" s="5">
        <v>12</v>
      </c>
      <c r="M80" s="27" t="s">
        <v>107</v>
      </c>
      <c r="N80" s="33">
        <v>1</v>
      </c>
      <c r="O80" s="35">
        <v>11</v>
      </c>
      <c r="P80" s="35">
        <v>55</v>
      </c>
      <c r="Q80" s="27">
        <f t="shared" si="6"/>
        <v>66</v>
      </c>
      <c r="R80" s="35" t="str">
        <f t="shared" si="5"/>
        <v>Stock Available</v>
      </c>
    </row>
    <row r="81" spans="1:18" x14ac:dyDescent="0.3">
      <c r="A81" s="1" t="s">
        <v>36</v>
      </c>
      <c r="B81" s="1" t="s">
        <v>129</v>
      </c>
      <c r="C81" s="1">
        <v>46</v>
      </c>
      <c r="D81" s="20">
        <v>5.333333333333333</v>
      </c>
      <c r="E81" s="6">
        <v>6</v>
      </c>
      <c r="F81" s="6">
        <v>8</v>
      </c>
      <c r="G81" s="5">
        <v>6</v>
      </c>
      <c r="H81" s="5">
        <v>8</v>
      </c>
      <c r="I81" s="18">
        <v>0</v>
      </c>
      <c r="J81" s="5">
        <v>2</v>
      </c>
      <c r="K81" s="18">
        <v>6</v>
      </c>
      <c r="L81" s="5">
        <v>8</v>
      </c>
      <c r="M81" s="27" t="s">
        <v>107</v>
      </c>
      <c r="N81" s="33">
        <v>1</v>
      </c>
      <c r="O81" s="35">
        <v>13</v>
      </c>
      <c r="P81" s="35">
        <v>43</v>
      </c>
      <c r="Q81" s="27">
        <f t="shared" si="6"/>
        <v>56</v>
      </c>
      <c r="R81" s="35" t="str">
        <f t="shared" si="5"/>
        <v>Stock Available</v>
      </c>
    </row>
    <row r="82" spans="1:18" x14ac:dyDescent="0.3">
      <c r="A82" s="1" t="s">
        <v>76</v>
      </c>
      <c r="B82" s="1" t="s">
        <v>130</v>
      </c>
      <c r="C82" s="1">
        <v>4561</v>
      </c>
      <c r="D82" s="16">
        <v>617</v>
      </c>
      <c r="E82" s="21">
        <v>76</v>
      </c>
      <c r="F82" s="12">
        <v>285</v>
      </c>
      <c r="G82" s="23">
        <v>69</v>
      </c>
      <c r="H82" s="26">
        <v>278</v>
      </c>
      <c r="I82" s="23">
        <v>31</v>
      </c>
      <c r="J82" s="26">
        <v>240</v>
      </c>
      <c r="K82" s="23">
        <v>101</v>
      </c>
      <c r="L82" s="34">
        <v>310</v>
      </c>
      <c r="M82" s="35" t="s">
        <v>107</v>
      </c>
      <c r="N82" s="33">
        <v>1</v>
      </c>
      <c r="O82" s="35">
        <v>300</v>
      </c>
      <c r="P82" s="35">
        <v>66</v>
      </c>
      <c r="Q82" s="27">
        <f t="shared" si="6"/>
        <v>366</v>
      </c>
      <c r="R82" s="35" t="str">
        <f>IF(Q82&lt;(F82+F82*10%),"Refill","Stock Available")</f>
        <v>Stock Available</v>
      </c>
    </row>
    <row r="83" spans="1:18" x14ac:dyDescent="0.3">
      <c r="A83" s="1" t="s">
        <v>77</v>
      </c>
      <c r="B83" s="1" t="s">
        <v>130</v>
      </c>
      <c r="C83" s="1">
        <v>1504</v>
      </c>
      <c r="D83" s="20">
        <v>258.66666666666669</v>
      </c>
      <c r="E83" s="21">
        <v>56</v>
      </c>
      <c r="F83" s="12">
        <v>144</v>
      </c>
      <c r="G83" s="23">
        <v>54</v>
      </c>
      <c r="H83" s="26">
        <v>142</v>
      </c>
      <c r="I83" s="23">
        <v>13</v>
      </c>
      <c r="J83" s="26">
        <v>101</v>
      </c>
      <c r="K83" s="23">
        <v>67</v>
      </c>
      <c r="L83" s="34">
        <v>155</v>
      </c>
      <c r="M83" s="35" t="s">
        <v>107</v>
      </c>
      <c r="N83" s="33">
        <v>1</v>
      </c>
      <c r="O83" s="35">
        <v>55</v>
      </c>
      <c r="P83" s="35">
        <v>54</v>
      </c>
      <c r="Q83" s="27">
        <f t="shared" si="6"/>
        <v>109</v>
      </c>
      <c r="R83" s="35" t="str">
        <f t="shared" ref="R83:R93" si="7">IF(Q83&lt;(F83+F83*10%),"Refill","Stock Available")</f>
        <v>Refill</v>
      </c>
    </row>
    <row r="84" spans="1:18" x14ac:dyDescent="0.3">
      <c r="A84" s="1" t="s">
        <v>78</v>
      </c>
      <c r="B84" s="1" t="s">
        <v>130</v>
      </c>
      <c r="C84" s="1">
        <v>822</v>
      </c>
      <c r="D84" s="16">
        <v>126</v>
      </c>
      <c r="E84" s="21">
        <v>29</v>
      </c>
      <c r="F84" s="12">
        <v>72</v>
      </c>
      <c r="G84" s="22">
        <v>29</v>
      </c>
      <c r="H84" s="12">
        <v>72</v>
      </c>
      <c r="I84" s="23">
        <v>6</v>
      </c>
      <c r="J84" s="26">
        <v>49</v>
      </c>
      <c r="K84" s="23">
        <v>35</v>
      </c>
      <c r="L84" s="34">
        <v>78</v>
      </c>
      <c r="M84" s="35" t="s">
        <v>115</v>
      </c>
      <c r="N84" s="33">
        <v>1</v>
      </c>
      <c r="O84" s="35">
        <v>21</v>
      </c>
      <c r="P84" s="35">
        <v>78</v>
      </c>
      <c r="Q84" s="27">
        <f t="shared" si="6"/>
        <v>99</v>
      </c>
      <c r="R84" s="35" t="str">
        <f t="shared" si="7"/>
        <v>Stock Available</v>
      </c>
    </row>
    <row r="85" spans="1:18" x14ac:dyDescent="0.3">
      <c r="A85" s="1" t="s">
        <v>79</v>
      </c>
      <c r="B85" s="1" t="s">
        <v>130</v>
      </c>
      <c r="C85" s="1">
        <v>460</v>
      </c>
      <c r="D85" s="20">
        <v>75.666666666666671</v>
      </c>
      <c r="E85" s="21">
        <v>14</v>
      </c>
      <c r="F85" s="12">
        <v>40</v>
      </c>
      <c r="G85" s="22">
        <v>14</v>
      </c>
      <c r="H85" s="12">
        <v>40</v>
      </c>
      <c r="I85" s="23">
        <v>4</v>
      </c>
      <c r="J85" s="26">
        <v>30</v>
      </c>
      <c r="K85" s="23">
        <v>18</v>
      </c>
      <c r="L85" s="34">
        <v>44</v>
      </c>
      <c r="M85" s="35" t="s">
        <v>115</v>
      </c>
      <c r="N85" s="33">
        <v>1</v>
      </c>
      <c r="O85" s="35">
        <v>18</v>
      </c>
      <c r="P85" s="35">
        <v>23</v>
      </c>
      <c r="Q85" s="27">
        <f t="shared" si="6"/>
        <v>41</v>
      </c>
      <c r="R85" s="35" t="str">
        <f t="shared" si="7"/>
        <v>Refill</v>
      </c>
    </row>
    <row r="86" spans="1:18" x14ac:dyDescent="0.3">
      <c r="A86" s="1" t="s">
        <v>80</v>
      </c>
      <c r="B86" s="1" t="s">
        <v>130</v>
      </c>
      <c r="C86" s="1">
        <v>1024</v>
      </c>
      <c r="D86" s="16">
        <v>151</v>
      </c>
      <c r="E86" s="21">
        <v>13</v>
      </c>
      <c r="F86" s="12">
        <v>64</v>
      </c>
      <c r="G86" s="23">
        <v>11</v>
      </c>
      <c r="H86" s="26">
        <v>62</v>
      </c>
      <c r="I86" s="23">
        <v>8</v>
      </c>
      <c r="J86" s="26">
        <v>59</v>
      </c>
      <c r="K86" s="23">
        <v>18</v>
      </c>
      <c r="L86" s="34">
        <v>69</v>
      </c>
      <c r="M86" s="35" t="s">
        <v>107</v>
      </c>
      <c r="N86" s="33">
        <v>1</v>
      </c>
      <c r="O86" s="35">
        <v>55</v>
      </c>
      <c r="P86" s="35">
        <v>67</v>
      </c>
      <c r="Q86" s="27">
        <f t="shared" si="6"/>
        <v>122</v>
      </c>
      <c r="R86" s="35" t="str">
        <f t="shared" si="7"/>
        <v>Stock Available</v>
      </c>
    </row>
    <row r="87" spans="1:18" x14ac:dyDescent="0.3">
      <c r="A87" s="1" t="s">
        <v>81</v>
      </c>
      <c r="B87" s="1" t="s">
        <v>130</v>
      </c>
      <c r="C87" s="1">
        <v>1795</v>
      </c>
      <c r="D87" s="16">
        <v>270</v>
      </c>
      <c r="E87" s="21">
        <v>62</v>
      </c>
      <c r="F87" s="12">
        <v>153</v>
      </c>
      <c r="G87" s="22">
        <v>61</v>
      </c>
      <c r="H87" s="12">
        <v>152</v>
      </c>
      <c r="I87" s="23">
        <v>14</v>
      </c>
      <c r="J87" s="26">
        <v>105</v>
      </c>
      <c r="K87" s="23">
        <v>75</v>
      </c>
      <c r="L87" s="34">
        <v>166</v>
      </c>
      <c r="M87" s="35" t="s">
        <v>116</v>
      </c>
      <c r="N87" s="33">
        <v>1</v>
      </c>
      <c r="O87" s="35">
        <v>44</v>
      </c>
      <c r="P87" s="35">
        <v>44</v>
      </c>
      <c r="Q87" s="27">
        <f t="shared" si="6"/>
        <v>88</v>
      </c>
      <c r="R87" s="35" t="str">
        <f t="shared" si="7"/>
        <v>Refill</v>
      </c>
    </row>
    <row r="88" spans="1:18" x14ac:dyDescent="0.3">
      <c r="A88" s="1" t="s">
        <v>82</v>
      </c>
      <c r="B88" s="1" t="s">
        <v>130</v>
      </c>
      <c r="C88" s="1">
        <v>2860</v>
      </c>
      <c r="D88" s="16">
        <v>572</v>
      </c>
      <c r="E88" s="21">
        <v>198</v>
      </c>
      <c r="F88" s="12">
        <v>392</v>
      </c>
      <c r="G88" s="23">
        <v>195</v>
      </c>
      <c r="H88" s="26">
        <v>389</v>
      </c>
      <c r="I88" s="23">
        <v>29</v>
      </c>
      <c r="J88" s="26">
        <v>223</v>
      </c>
      <c r="K88" s="23">
        <v>225</v>
      </c>
      <c r="L88" s="34">
        <v>419</v>
      </c>
      <c r="M88" s="35" t="s">
        <v>107</v>
      </c>
      <c r="N88" s="33">
        <v>1</v>
      </c>
      <c r="O88" s="35">
        <v>32</v>
      </c>
      <c r="P88" s="35">
        <v>76</v>
      </c>
      <c r="Q88" s="27">
        <f t="shared" si="6"/>
        <v>108</v>
      </c>
      <c r="R88" s="35" t="str">
        <f t="shared" si="7"/>
        <v>Refill</v>
      </c>
    </row>
    <row r="89" spans="1:18" x14ac:dyDescent="0.3">
      <c r="A89" s="1" t="s">
        <v>83</v>
      </c>
      <c r="B89" s="1" t="s">
        <v>130</v>
      </c>
      <c r="C89" s="1">
        <v>1380</v>
      </c>
      <c r="D89" s="16">
        <v>347</v>
      </c>
      <c r="E89" s="21">
        <v>44</v>
      </c>
      <c r="F89" s="12">
        <v>161</v>
      </c>
      <c r="G89" s="23">
        <v>41</v>
      </c>
      <c r="H89" s="26">
        <v>158</v>
      </c>
      <c r="I89" s="23">
        <v>18</v>
      </c>
      <c r="J89" s="26">
        <v>135</v>
      </c>
      <c r="K89" s="23">
        <v>58</v>
      </c>
      <c r="L89" s="34">
        <v>175</v>
      </c>
      <c r="M89" s="35" t="s">
        <v>107</v>
      </c>
      <c r="N89" s="33">
        <v>1</v>
      </c>
      <c r="O89" s="35">
        <v>51</v>
      </c>
      <c r="P89" s="35">
        <v>54</v>
      </c>
      <c r="Q89" s="27">
        <f t="shared" si="6"/>
        <v>105</v>
      </c>
      <c r="R89" s="35" t="str">
        <f t="shared" si="7"/>
        <v>Refill</v>
      </c>
    </row>
    <row r="90" spans="1:18" x14ac:dyDescent="0.3">
      <c r="A90" s="1" t="s">
        <v>84</v>
      </c>
      <c r="B90" s="1" t="s">
        <v>130</v>
      </c>
      <c r="C90" s="1">
        <v>1175</v>
      </c>
      <c r="D90" s="16">
        <v>252</v>
      </c>
      <c r="E90" s="21">
        <v>35</v>
      </c>
      <c r="F90" s="12">
        <v>120</v>
      </c>
      <c r="G90" s="23">
        <v>33</v>
      </c>
      <c r="H90" s="26">
        <v>118</v>
      </c>
      <c r="I90" s="23">
        <v>13</v>
      </c>
      <c r="J90" s="26">
        <v>98</v>
      </c>
      <c r="K90" s="23">
        <v>46</v>
      </c>
      <c r="L90" s="34">
        <v>131</v>
      </c>
      <c r="M90" s="35" t="s">
        <v>107</v>
      </c>
      <c r="N90" s="33">
        <v>1</v>
      </c>
      <c r="O90" s="35">
        <v>47</v>
      </c>
      <c r="P90" s="35">
        <v>23</v>
      </c>
      <c r="Q90" s="27">
        <f t="shared" si="6"/>
        <v>70</v>
      </c>
      <c r="R90" s="35" t="str">
        <f t="shared" si="7"/>
        <v>Refill</v>
      </c>
    </row>
    <row r="91" spans="1:18" x14ac:dyDescent="0.3">
      <c r="A91" s="1" t="s">
        <v>85</v>
      </c>
      <c r="B91" s="1" t="s">
        <v>130</v>
      </c>
      <c r="C91" s="1">
        <v>906</v>
      </c>
      <c r="D91" s="16">
        <v>133</v>
      </c>
      <c r="E91" s="21">
        <v>81</v>
      </c>
      <c r="F91" s="12">
        <v>126</v>
      </c>
      <c r="G91" s="23">
        <v>81</v>
      </c>
      <c r="H91" s="26">
        <v>126</v>
      </c>
      <c r="I91" s="23">
        <v>7</v>
      </c>
      <c r="J91" s="26">
        <v>52</v>
      </c>
      <c r="K91" s="23">
        <v>87</v>
      </c>
      <c r="L91" s="34">
        <v>132</v>
      </c>
      <c r="M91" s="35" t="s">
        <v>107</v>
      </c>
      <c r="N91" s="33">
        <v>1</v>
      </c>
      <c r="O91" s="35">
        <v>100</v>
      </c>
      <c r="P91" s="35">
        <v>18</v>
      </c>
      <c r="Q91" s="27">
        <f t="shared" si="6"/>
        <v>118</v>
      </c>
      <c r="R91" s="35" t="str">
        <f t="shared" si="7"/>
        <v>Refill</v>
      </c>
    </row>
    <row r="92" spans="1:18" x14ac:dyDescent="0.3">
      <c r="A92" s="1" t="s">
        <v>86</v>
      </c>
      <c r="B92" s="1" t="s">
        <v>130</v>
      </c>
      <c r="C92" s="1">
        <v>1450</v>
      </c>
      <c r="D92" s="16">
        <v>266</v>
      </c>
      <c r="E92" s="21">
        <v>83</v>
      </c>
      <c r="F92" s="12">
        <v>173</v>
      </c>
      <c r="G92" s="23">
        <v>82</v>
      </c>
      <c r="H92" s="26">
        <v>172</v>
      </c>
      <c r="I92" s="23">
        <v>14</v>
      </c>
      <c r="J92" s="26">
        <v>104</v>
      </c>
      <c r="K92" s="23">
        <v>95</v>
      </c>
      <c r="L92" s="34">
        <v>185</v>
      </c>
      <c r="M92" s="35" t="s">
        <v>107</v>
      </c>
      <c r="N92" s="33">
        <v>1</v>
      </c>
      <c r="O92" s="35">
        <v>250</v>
      </c>
      <c r="P92" s="35">
        <v>99</v>
      </c>
      <c r="Q92" s="27">
        <f t="shared" si="6"/>
        <v>349</v>
      </c>
      <c r="R92" s="35" t="str">
        <f t="shared" si="7"/>
        <v>Stock Available</v>
      </c>
    </row>
    <row r="93" spans="1:18" x14ac:dyDescent="0.3">
      <c r="A93" s="1" t="s">
        <v>87</v>
      </c>
      <c r="B93" s="1" t="s">
        <v>130</v>
      </c>
      <c r="C93" s="1">
        <v>750</v>
      </c>
      <c r="D93" s="16">
        <v>137</v>
      </c>
      <c r="E93" s="21">
        <v>83</v>
      </c>
      <c r="F93" s="12">
        <v>129</v>
      </c>
      <c r="G93" s="23">
        <v>82</v>
      </c>
      <c r="H93" s="26">
        <v>128</v>
      </c>
      <c r="I93" s="23">
        <v>7</v>
      </c>
      <c r="J93" s="26">
        <v>53</v>
      </c>
      <c r="K93" s="23">
        <v>89</v>
      </c>
      <c r="L93" s="34">
        <v>135</v>
      </c>
      <c r="M93" s="35" t="s">
        <v>111</v>
      </c>
      <c r="N93" s="33">
        <v>1</v>
      </c>
      <c r="O93" s="35">
        <v>44</v>
      </c>
      <c r="P93" s="35">
        <v>88</v>
      </c>
      <c r="Q93" s="27">
        <f t="shared" si="6"/>
        <v>132</v>
      </c>
      <c r="R93" s="35" t="str">
        <f t="shared" si="7"/>
        <v>Refill</v>
      </c>
    </row>
    <row r="94" spans="1:18" x14ac:dyDescent="0.3">
      <c r="A94" s="1" t="s">
        <v>88</v>
      </c>
      <c r="B94" s="1" t="s">
        <v>131</v>
      </c>
      <c r="C94" s="1">
        <v>2556</v>
      </c>
      <c r="D94" s="2">
        <v>366</v>
      </c>
      <c r="E94" s="6">
        <v>46</v>
      </c>
      <c r="F94" s="6">
        <v>170</v>
      </c>
      <c r="G94" s="18">
        <v>43</v>
      </c>
      <c r="H94" s="5">
        <v>167</v>
      </c>
      <c r="I94" s="18">
        <v>19</v>
      </c>
      <c r="J94" s="5">
        <v>143</v>
      </c>
      <c r="K94" s="18">
        <v>61</v>
      </c>
      <c r="L94" s="5">
        <v>185</v>
      </c>
      <c r="M94" s="27" t="s">
        <v>107</v>
      </c>
      <c r="N94" s="30">
        <v>1</v>
      </c>
      <c r="O94" s="27">
        <v>35</v>
      </c>
      <c r="P94" s="27">
        <v>66</v>
      </c>
      <c r="Q94" s="27">
        <f t="shared" si="6"/>
        <v>101</v>
      </c>
      <c r="R94" s="27" t="str">
        <f>IF(Q94&lt;(F94+F94*10%),"Refill","Stock Available")</f>
        <v>Refill</v>
      </c>
    </row>
    <row r="95" spans="1:18" x14ac:dyDescent="0.3">
      <c r="A95" s="1" t="s">
        <v>89</v>
      </c>
      <c r="B95" s="1" t="s">
        <v>131</v>
      </c>
      <c r="C95" s="1">
        <v>2233</v>
      </c>
      <c r="D95" s="2">
        <v>370</v>
      </c>
      <c r="E95" s="6">
        <v>65</v>
      </c>
      <c r="F95" s="6">
        <v>190</v>
      </c>
      <c r="G95" s="18">
        <v>62</v>
      </c>
      <c r="H95" s="5">
        <v>187</v>
      </c>
      <c r="I95" s="18">
        <v>19</v>
      </c>
      <c r="J95" s="5">
        <v>144</v>
      </c>
      <c r="K95" s="18">
        <v>81</v>
      </c>
      <c r="L95" s="5">
        <v>206</v>
      </c>
      <c r="M95" s="27" t="s">
        <v>107</v>
      </c>
      <c r="N95" s="30">
        <v>1</v>
      </c>
      <c r="O95" s="27">
        <v>56</v>
      </c>
      <c r="P95" s="27">
        <v>87</v>
      </c>
      <c r="Q95" s="27">
        <f t="shared" si="6"/>
        <v>143</v>
      </c>
      <c r="R95" s="27" t="str">
        <f t="shared" ref="R95:R97" si="8">IF(Q95&lt;(F95+F95*10%),"Refill","Stock Available")</f>
        <v>Refill</v>
      </c>
    </row>
    <row r="96" spans="1:18" x14ac:dyDescent="0.3">
      <c r="A96" s="1" t="s">
        <v>90</v>
      </c>
      <c r="B96" s="1" t="s">
        <v>131</v>
      </c>
      <c r="C96" s="1">
        <v>2096</v>
      </c>
      <c r="D96" s="11">
        <v>366.33333333333331</v>
      </c>
      <c r="E96" s="6">
        <v>102</v>
      </c>
      <c r="F96" s="6">
        <v>226</v>
      </c>
      <c r="G96" s="18">
        <v>100</v>
      </c>
      <c r="H96" s="5">
        <v>224</v>
      </c>
      <c r="I96" s="18">
        <v>19</v>
      </c>
      <c r="J96" s="5">
        <v>143</v>
      </c>
      <c r="K96" s="18">
        <v>119</v>
      </c>
      <c r="L96" s="5">
        <v>243</v>
      </c>
      <c r="M96" s="27" t="s">
        <v>107</v>
      </c>
      <c r="N96" s="30">
        <v>1</v>
      </c>
      <c r="O96" s="27">
        <v>77</v>
      </c>
      <c r="P96" s="27">
        <v>65</v>
      </c>
      <c r="Q96" s="27">
        <f t="shared" si="6"/>
        <v>142</v>
      </c>
      <c r="R96" s="27" t="str">
        <f t="shared" si="8"/>
        <v>Refill</v>
      </c>
    </row>
    <row r="97" spans="1:18" x14ac:dyDescent="0.3">
      <c r="A97" s="1" t="s">
        <v>91</v>
      </c>
      <c r="B97" s="1" t="s">
        <v>131</v>
      </c>
      <c r="C97" s="1">
        <v>3181</v>
      </c>
      <c r="D97" s="11">
        <v>608.66666666666663</v>
      </c>
      <c r="E97" s="6">
        <v>113</v>
      </c>
      <c r="F97" s="6">
        <v>319</v>
      </c>
      <c r="G97" s="18">
        <v>109</v>
      </c>
      <c r="H97" s="5">
        <v>315</v>
      </c>
      <c r="I97" s="18">
        <v>31</v>
      </c>
      <c r="J97" s="5">
        <v>237</v>
      </c>
      <c r="K97" s="18">
        <v>140</v>
      </c>
      <c r="L97" s="5">
        <v>346</v>
      </c>
      <c r="M97" s="27" t="s">
        <v>107</v>
      </c>
      <c r="N97" s="30">
        <v>1</v>
      </c>
      <c r="O97" s="27">
        <v>54</v>
      </c>
      <c r="P97" s="27">
        <v>120</v>
      </c>
      <c r="Q97" s="27">
        <f t="shared" si="6"/>
        <v>174</v>
      </c>
      <c r="R97" s="27" t="str">
        <f t="shared" si="8"/>
        <v>Refill</v>
      </c>
    </row>
    <row r="98" spans="1:18" x14ac:dyDescent="0.3">
      <c r="A98" s="1" t="s">
        <v>66</v>
      </c>
      <c r="B98" s="1" t="s">
        <v>132</v>
      </c>
      <c r="C98" s="1">
        <v>1468</v>
      </c>
      <c r="D98" s="20">
        <v>489.33333333333331</v>
      </c>
      <c r="E98" s="5">
        <v>135</v>
      </c>
      <c r="F98" s="5">
        <v>301</v>
      </c>
      <c r="G98" s="6">
        <v>133</v>
      </c>
      <c r="H98" s="6">
        <v>299</v>
      </c>
      <c r="I98" s="5">
        <v>25</v>
      </c>
      <c r="J98" s="5">
        <v>191</v>
      </c>
      <c r="K98" s="5">
        <v>158</v>
      </c>
      <c r="L98" s="5">
        <v>324</v>
      </c>
      <c r="M98" s="27" t="s">
        <v>117</v>
      </c>
      <c r="N98" s="30">
        <v>1</v>
      </c>
      <c r="O98" s="27">
        <v>77</v>
      </c>
      <c r="P98" s="27">
        <v>66</v>
      </c>
      <c r="Q98" s="27">
        <f t="shared" si="6"/>
        <v>143</v>
      </c>
      <c r="R98" s="27" t="str">
        <f>IF(Q98&lt;(H98+H98*10%),"Refill","Stock Available")</f>
        <v>Refill</v>
      </c>
    </row>
    <row r="99" spans="1:18" x14ac:dyDescent="0.3">
      <c r="A99" s="1" t="s">
        <v>67</v>
      </c>
      <c r="B99" s="1" t="s">
        <v>132</v>
      </c>
      <c r="C99" s="1">
        <v>760</v>
      </c>
      <c r="D99" s="20">
        <v>253.33333333333334</v>
      </c>
      <c r="E99" s="5">
        <v>25</v>
      </c>
      <c r="F99" s="5">
        <v>111</v>
      </c>
      <c r="G99" s="6">
        <v>22</v>
      </c>
      <c r="H99" s="6">
        <v>108</v>
      </c>
      <c r="I99" s="5">
        <v>13</v>
      </c>
      <c r="J99" s="5">
        <v>99</v>
      </c>
      <c r="K99" s="5">
        <v>35</v>
      </c>
      <c r="L99" s="5">
        <v>121</v>
      </c>
      <c r="M99" s="27" t="s">
        <v>117</v>
      </c>
      <c r="N99" s="30">
        <v>1</v>
      </c>
      <c r="O99" s="27">
        <v>43</v>
      </c>
      <c r="P99" s="27">
        <v>54</v>
      </c>
      <c r="Q99" s="27">
        <f t="shared" si="6"/>
        <v>97</v>
      </c>
      <c r="R99" s="27" t="str">
        <f t="shared" ref="R99:R107" si="9">IF(Q99&lt;(H99+H99*10%),"Refill","Stock Available")</f>
        <v>Refill</v>
      </c>
    </row>
    <row r="100" spans="1:18" x14ac:dyDescent="0.3">
      <c r="A100" s="1" t="s">
        <v>180</v>
      </c>
      <c r="B100" s="1" t="s">
        <v>132</v>
      </c>
      <c r="C100" s="1">
        <v>963</v>
      </c>
      <c r="D100" s="20">
        <v>180</v>
      </c>
      <c r="E100" s="5">
        <v>11</v>
      </c>
      <c r="F100" s="5">
        <v>72</v>
      </c>
      <c r="G100" s="6">
        <v>7</v>
      </c>
      <c r="H100" s="6">
        <v>68</v>
      </c>
      <c r="I100" s="5">
        <v>9</v>
      </c>
      <c r="J100" s="5">
        <v>70</v>
      </c>
      <c r="K100" s="5">
        <v>16</v>
      </c>
      <c r="L100" s="5">
        <v>77</v>
      </c>
      <c r="M100" s="27" t="s">
        <v>117</v>
      </c>
      <c r="N100" s="30">
        <v>1</v>
      </c>
      <c r="O100" s="27">
        <v>11</v>
      </c>
      <c r="P100" s="27">
        <v>62</v>
      </c>
      <c r="Q100" s="27">
        <f t="shared" si="6"/>
        <v>73</v>
      </c>
      <c r="R100" s="27" t="str">
        <f t="shared" si="9"/>
        <v>Refill</v>
      </c>
    </row>
    <row r="101" spans="1:18" x14ac:dyDescent="0.3">
      <c r="A101" s="1" t="s">
        <v>69</v>
      </c>
      <c r="B101" s="1" t="s">
        <v>132</v>
      </c>
      <c r="C101" s="1">
        <v>50</v>
      </c>
      <c r="D101" s="20">
        <v>16.666666666666668</v>
      </c>
      <c r="E101" s="5">
        <v>12</v>
      </c>
      <c r="F101" s="5">
        <v>18</v>
      </c>
      <c r="G101" s="6">
        <v>12</v>
      </c>
      <c r="H101" s="6">
        <v>18</v>
      </c>
      <c r="I101" s="5">
        <v>1</v>
      </c>
      <c r="J101" s="5">
        <v>7</v>
      </c>
      <c r="K101" s="5">
        <v>13</v>
      </c>
      <c r="L101" s="5">
        <v>19</v>
      </c>
      <c r="M101" s="27" t="s">
        <v>117</v>
      </c>
      <c r="N101" s="30">
        <v>1</v>
      </c>
      <c r="O101" s="27">
        <v>45</v>
      </c>
      <c r="P101" s="27">
        <v>11</v>
      </c>
      <c r="Q101" s="27">
        <f t="shared" si="6"/>
        <v>56</v>
      </c>
      <c r="R101" s="27" t="str">
        <f t="shared" si="9"/>
        <v>Stock Available</v>
      </c>
    </row>
    <row r="102" spans="1:18" x14ac:dyDescent="0.3">
      <c r="A102" s="1" t="s">
        <v>70</v>
      </c>
      <c r="B102" s="1" t="s">
        <v>132</v>
      </c>
      <c r="C102" s="1">
        <v>52</v>
      </c>
      <c r="D102" s="20">
        <v>17.333333333333332</v>
      </c>
      <c r="E102" s="5">
        <v>17</v>
      </c>
      <c r="F102" s="5">
        <v>23</v>
      </c>
      <c r="G102" s="6">
        <v>17</v>
      </c>
      <c r="H102" s="6">
        <v>23</v>
      </c>
      <c r="I102" s="5">
        <v>1</v>
      </c>
      <c r="J102" s="5">
        <v>7</v>
      </c>
      <c r="K102" s="5">
        <v>18</v>
      </c>
      <c r="L102" s="5">
        <v>24</v>
      </c>
      <c r="M102" s="27" t="s">
        <v>108</v>
      </c>
      <c r="N102" s="30">
        <v>1</v>
      </c>
      <c r="O102" s="27">
        <v>33</v>
      </c>
      <c r="P102" s="27">
        <v>65</v>
      </c>
      <c r="Q102" s="27">
        <f t="shared" si="6"/>
        <v>98</v>
      </c>
      <c r="R102" s="27" t="str">
        <f t="shared" si="9"/>
        <v>Stock Available</v>
      </c>
    </row>
    <row r="103" spans="1:18" x14ac:dyDescent="0.3">
      <c r="A103" s="1" t="s">
        <v>179</v>
      </c>
      <c r="B103" s="1" t="s">
        <v>132</v>
      </c>
      <c r="C103" s="1">
        <v>22</v>
      </c>
      <c r="D103" s="20">
        <v>7.333333333333333</v>
      </c>
      <c r="E103" s="5">
        <v>6</v>
      </c>
      <c r="F103" s="5">
        <v>8</v>
      </c>
      <c r="G103" s="6">
        <v>6</v>
      </c>
      <c r="H103" s="6">
        <v>8</v>
      </c>
      <c r="I103" s="5">
        <v>0</v>
      </c>
      <c r="J103" s="5">
        <v>2</v>
      </c>
      <c r="K103" s="5">
        <v>6</v>
      </c>
      <c r="L103" s="5">
        <v>8</v>
      </c>
      <c r="M103" s="27" t="s">
        <v>108</v>
      </c>
      <c r="N103" s="30">
        <v>1</v>
      </c>
      <c r="O103" s="27">
        <v>18</v>
      </c>
      <c r="P103" s="27">
        <v>77</v>
      </c>
      <c r="Q103" s="27">
        <f t="shared" si="6"/>
        <v>95</v>
      </c>
      <c r="R103" s="27" t="str">
        <f t="shared" si="9"/>
        <v>Stock Available</v>
      </c>
    </row>
    <row r="104" spans="1:18" x14ac:dyDescent="0.3">
      <c r="A104" s="1" t="s">
        <v>72</v>
      </c>
      <c r="B104" s="1" t="s">
        <v>132</v>
      </c>
      <c r="C104" s="1">
        <v>963</v>
      </c>
      <c r="D104" s="20">
        <v>189.33333333333334</v>
      </c>
      <c r="E104" s="5">
        <v>27</v>
      </c>
      <c r="F104" s="5">
        <v>91</v>
      </c>
      <c r="G104" s="6">
        <v>25</v>
      </c>
      <c r="H104" s="6">
        <v>89</v>
      </c>
      <c r="I104" s="5">
        <v>10</v>
      </c>
      <c r="J104" s="5">
        <v>74</v>
      </c>
      <c r="K104" s="5">
        <v>35</v>
      </c>
      <c r="L104" s="5">
        <v>99</v>
      </c>
      <c r="M104" s="27" t="s">
        <v>108</v>
      </c>
      <c r="N104" s="30">
        <v>1</v>
      </c>
      <c r="O104" s="27">
        <v>55</v>
      </c>
      <c r="P104" s="27">
        <v>34</v>
      </c>
      <c r="Q104" s="27">
        <f t="shared" si="6"/>
        <v>89</v>
      </c>
      <c r="R104" s="27" t="str">
        <f t="shared" si="9"/>
        <v>Refill</v>
      </c>
    </row>
    <row r="105" spans="1:18" x14ac:dyDescent="0.3">
      <c r="A105" s="1" t="s">
        <v>177</v>
      </c>
      <c r="B105" s="1" t="s">
        <v>132</v>
      </c>
      <c r="C105" s="1">
        <v>1197</v>
      </c>
      <c r="D105" s="20">
        <v>399</v>
      </c>
      <c r="E105" s="5">
        <v>119</v>
      </c>
      <c r="F105" s="5">
        <v>254</v>
      </c>
      <c r="G105" s="6">
        <v>117</v>
      </c>
      <c r="H105" s="6">
        <v>252</v>
      </c>
      <c r="I105" s="5">
        <v>20</v>
      </c>
      <c r="J105" s="5">
        <v>155</v>
      </c>
      <c r="K105" s="5">
        <v>137</v>
      </c>
      <c r="L105" s="5">
        <v>272</v>
      </c>
      <c r="M105" s="27" t="s">
        <v>108</v>
      </c>
      <c r="N105" s="30">
        <v>1</v>
      </c>
      <c r="O105" s="27">
        <v>150</v>
      </c>
      <c r="P105" s="27">
        <v>88</v>
      </c>
      <c r="Q105" s="27">
        <f t="shared" si="6"/>
        <v>238</v>
      </c>
      <c r="R105" s="27" t="str">
        <f t="shared" si="9"/>
        <v>Refill</v>
      </c>
    </row>
    <row r="106" spans="1:18" x14ac:dyDescent="0.3">
      <c r="A106" s="1" t="s">
        <v>178</v>
      </c>
      <c r="B106" s="1" t="s">
        <v>132</v>
      </c>
      <c r="C106" s="1">
        <v>1065</v>
      </c>
      <c r="D106" s="20">
        <v>289.66666666666669</v>
      </c>
      <c r="E106" s="5">
        <v>45</v>
      </c>
      <c r="F106" s="5">
        <v>143</v>
      </c>
      <c r="G106" s="6">
        <v>43</v>
      </c>
      <c r="H106" s="6">
        <v>141</v>
      </c>
      <c r="I106" s="5">
        <v>15</v>
      </c>
      <c r="J106" s="5">
        <v>113</v>
      </c>
      <c r="K106" s="5">
        <v>57</v>
      </c>
      <c r="L106" s="5">
        <v>155</v>
      </c>
      <c r="M106" s="27" t="s">
        <v>108</v>
      </c>
      <c r="N106" s="30">
        <v>1</v>
      </c>
      <c r="O106" s="27">
        <v>33</v>
      </c>
      <c r="P106" s="27">
        <v>120</v>
      </c>
      <c r="Q106" s="27">
        <f t="shared" si="6"/>
        <v>153</v>
      </c>
      <c r="R106" s="27" t="str">
        <f t="shared" si="9"/>
        <v>Refill</v>
      </c>
    </row>
    <row r="107" spans="1:18" x14ac:dyDescent="0.3">
      <c r="A107" s="1" t="s">
        <v>176</v>
      </c>
      <c r="B107" s="1" t="s">
        <v>132</v>
      </c>
      <c r="C107" s="1">
        <v>633</v>
      </c>
      <c r="D107" s="20">
        <v>211</v>
      </c>
      <c r="E107" s="5">
        <v>49</v>
      </c>
      <c r="F107" s="5">
        <v>120</v>
      </c>
      <c r="G107" s="6">
        <v>48</v>
      </c>
      <c r="H107" s="6">
        <v>119</v>
      </c>
      <c r="I107" s="5">
        <v>11</v>
      </c>
      <c r="J107" s="5">
        <v>82</v>
      </c>
      <c r="K107" s="5">
        <v>59</v>
      </c>
      <c r="L107" s="5">
        <v>130</v>
      </c>
      <c r="M107" s="27" t="s">
        <v>108</v>
      </c>
      <c r="N107" s="30">
        <v>1</v>
      </c>
      <c r="O107" s="27">
        <v>21</v>
      </c>
      <c r="P107" s="27">
        <v>120</v>
      </c>
      <c r="Q107" s="27">
        <f t="shared" si="6"/>
        <v>141</v>
      </c>
      <c r="R107" s="27" t="str">
        <f t="shared" si="9"/>
        <v>Stock Available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7EC27-FFD3-4767-BFB7-2A31EF87BFF6}">
  <dimension ref="B1:O25"/>
  <sheetViews>
    <sheetView showGridLines="0" zoomScaleNormal="100" workbookViewId="0">
      <pane xSplit="2" ySplit="2" topLeftCell="G10" activePane="bottomRight" state="frozen"/>
      <selection pane="topRight" activeCell="B1" sqref="B1"/>
      <selection pane="bottomLeft" activeCell="A4" sqref="A4"/>
      <selection pane="bottomRight" activeCell="B27" sqref="B27"/>
    </sheetView>
  </sheetViews>
  <sheetFormatPr defaultRowHeight="14.4" x14ac:dyDescent="0.3"/>
  <cols>
    <col min="2" max="2" width="21.88671875" bestFit="1" customWidth="1"/>
    <col min="3" max="3" width="9.88671875" bestFit="1" customWidth="1"/>
    <col min="4" max="4" width="8.44140625" style="14" bestFit="1" customWidth="1"/>
    <col min="5" max="5" width="13.6640625" customWidth="1"/>
    <col min="6" max="6" width="12.5546875" style="13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109375" bestFit="1" customWidth="1"/>
    <col min="14" max="14" width="7.6640625" bestFit="1" customWidth="1"/>
    <col min="15" max="15" width="54.21875" bestFit="1" customWidth="1"/>
    <col min="16" max="16" width="12.33203125" customWidth="1"/>
    <col min="17" max="17" width="54.21875" bestFit="1" customWidth="1"/>
  </cols>
  <sheetData>
    <row r="1" spans="2:15" s="3" customFormat="1" ht="86.4" x14ac:dyDescent="0.3">
      <c r="E1" s="4" t="s">
        <v>4</v>
      </c>
      <c r="F1" s="4"/>
      <c r="G1" s="4" t="s">
        <v>5</v>
      </c>
      <c r="H1" s="4"/>
      <c r="I1" s="4" t="s">
        <v>6</v>
      </c>
      <c r="J1" s="4"/>
      <c r="K1" s="4" t="s">
        <v>7</v>
      </c>
      <c r="L1" s="4"/>
      <c r="M1" s="4"/>
      <c r="N1" s="4"/>
    </row>
    <row r="2" spans="2:15" s="9" customFormat="1" ht="50.4" customHeight="1" x14ac:dyDescent="0.3">
      <c r="B2" s="7" t="s">
        <v>12</v>
      </c>
      <c r="C2" s="7" t="s">
        <v>13</v>
      </c>
      <c r="D2" s="7" t="s">
        <v>98</v>
      </c>
      <c r="E2" s="10" t="s">
        <v>11</v>
      </c>
      <c r="F2" s="10" t="s">
        <v>100</v>
      </c>
      <c r="G2" s="10" t="s">
        <v>8</v>
      </c>
      <c r="H2" s="10" t="s">
        <v>101</v>
      </c>
      <c r="I2" s="10" t="s">
        <v>9</v>
      </c>
      <c r="J2" s="10" t="s">
        <v>100</v>
      </c>
      <c r="K2" s="8" t="s">
        <v>10</v>
      </c>
      <c r="L2" s="10" t="s">
        <v>100</v>
      </c>
      <c r="M2" s="10" t="s">
        <v>112</v>
      </c>
      <c r="N2" s="10" t="s">
        <v>113</v>
      </c>
    </row>
    <row r="3" spans="2:15" x14ac:dyDescent="0.3">
      <c r="B3" s="1" t="s">
        <v>182</v>
      </c>
      <c r="C3" s="1">
        <v>495</v>
      </c>
      <c r="D3" s="16">
        <v>89</v>
      </c>
      <c r="E3" s="6">
        <v>23</v>
      </c>
      <c r="F3" s="12">
        <v>53</v>
      </c>
      <c r="G3" s="5">
        <v>22</v>
      </c>
      <c r="H3" s="5">
        <v>52</v>
      </c>
      <c r="I3" s="5">
        <v>5</v>
      </c>
      <c r="J3" s="5">
        <v>35</v>
      </c>
      <c r="K3" s="5">
        <v>27</v>
      </c>
      <c r="L3" s="31">
        <v>57</v>
      </c>
      <c r="M3" s="32" t="s">
        <v>107</v>
      </c>
      <c r="N3" s="30">
        <v>1</v>
      </c>
      <c r="O3" t="s">
        <v>20</v>
      </c>
    </row>
    <row r="4" spans="2:15" x14ac:dyDescent="0.3">
      <c r="B4" s="1" t="s">
        <v>183</v>
      </c>
      <c r="C4" s="1">
        <v>7875</v>
      </c>
      <c r="D4" s="16">
        <v>1547</v>
      </c>
      <c r="E4" s="6">
        <v>96</v>
      </c>
      <c r="F4" s="12">
        <v>620</v>
      </c>
      <c r="G4" s="5">
        <v>55</v>
      </c>
      <c r="H4" s="5">
        <v>579</v>
      </c>
      <c r="I4" s="5">
        <v>79</v>
      </c>
      <c r="J4" s="5">
        <v>603</v>
      </c>
      <c r="K4" s="5">
        <v>134</v>
      </c>
      <c r="L4" s="5">
        <v>658</v>
      </c>
      <c r="M4" s="27" t="s">
        <v>107</v>
      </c>
      <c r="N4" s="30">
        <v>1</v>
      </c>
      <c r="O4" t="s">
        <v>3</v>
      </c>
    </row>
    <row r="5" spans="2:15" x14ac:dyDescent="0.3">
      <c r="B5" s="1" t="s">
        <v>184</v>
      </c>
      <c r="C5" s="1">
        <v>239</v>
      </c>
      <c r="D5" s="16">
        <v>37</v>
      </c>
      <c r="E5" s="6">
        <v>4</v>
      </c>
      <c r="F5" s="12">
        <v>17</v>
      </c>
      <c r="G5" s="5">
        <v>4</v>
      </c>
      <c r="H5" s="5">
        <v>17</v>
      </c>
      <c r="I5" s="5">
        <v>2</v>
      </c>
      <c r="J5" s="5">
        <v>15</v>
      </c>
      <c r="K5" s="5">
        <v>6</v>
      </c>
      <c r="L5" s="5">
        <v>19</v>
      </c>
      <c r="M5" s="27" t="s">
        <v>107</v>
      </c>
      <c r="N5" s="30">
        <v>1</v>
      </c>
      <c r="O5" t="s">
        <v>2</v>
      </c>
    </row>
    <row r="6" spans="2:15" x14ac:dyDescent="0.3">
      <c r="B6" s="1" t="s">
        <v>185</v>
      </c>
      <c r="C6" s="1">
        <v>4363</v>
      </c>
      <c r="D6" s="16">
        <v>767</v>
      </c>
      <c r="E6" s="6">
        <v>110</v>
      </c>
      <c r="F6" s="12">
        <v>369</v>
      </c>
      <c r="G6" s="5">
        <v>103</v>
      </c>
      <c r="H6" s="5">
        <v>362</v>
      </c>
      <c r="I6" s="5">
        <v>39</v>
      </c>
      <c r="J6" s="5">
        <v>298</v>
      </c>
      <c r="K6" s="5">
        <v>142</v>
      </c>
      <c r="L6" s="5">
        <v>401</v>
      </c>
      <c r="M6" s="32" t="s">
        <v>107</v>
      </c>
      <c r="N6" s="30">
        <v>1</v>
      </c>
      <c r="O6" t="s">
        <v>1</v>
      </c>
    </row>
    <row r="7" spans="2:15" x14ac:dyDescent="0.3">
      <c r="B7" s="1" t="s">
        <v>186</v>
      </c>
      <c r="C7" s="1">
        <v>622</v>
      </c>
      <c r="D7" s="16">
        <v>106</v>
      </c>
      <c r="E7" s="6">
        <v>13</v>
      </c>
      <c r="F7" s="12">
        <v>49</v>
      </c>
      <c r="G7" s="5">
        <v>12</v>
      </c>
      <c r="H7" s="5">
        <v>48</v>
      </c>
      <c r="I7" s="5">
        <v>5</v>
      </c>
      <c r="J7" s="5">
        <v>41</v>
      </c>
      <c r="K7" s="5">
        <v>18</v>
      </c>
      <c r="L7" s="5">
        <v>54</v>
      </c>
      <c r="M7" s="27" t="s">
        <v>107</v>
      </c>
      <c r="N7" s="30">
        <v>1</v>
      </c>
      <c r="O7" t="s">
        <v>0</v>
      </c>
    </row>
    <row r="8" spans="2:15" x14ac:dyDescent="0.3">
      <c r="B8" s="1" t="s">
        <v>187</v>
      </c>
      <c r="C8" s="1">
        <v>5536</v>
      </c>
      <c r="D8" s="16">
        <v>998</v>
      </c>
      <c r="E8" s="6">
        <v>87</v>
      </c>
      <c r="F8" s="12">
        <v>425</v>
      </c>
      <c r="G8" s="5">
        <v>70</v>
      </c>
      <c r="H8" s="5">
        <v>408</v>
      </c>
      <c r="I8" s="5">
        <v>51</v>
      </c>
      <c r="J8" s="5">
        <v>389</v>
      </c>
      <c r="K8" s="5">
        <v>121</v>
      </c>
      <c r="L8" s="5">
        <v>459</v>
      </c>
      <c r="M8" s="27" t="s">
        <v>107</v>
      </c>
      <c r="N8" s="30">
        <v>1</v>
      </c>
      <c r="O8" t="s">
        <v>99</v>
      </c>
    </row>
    <row r="9" spans="2:15" x14ac:dyDescent="0.3">
      <c r="B9" s="1" t="s">
        <v>188</v>
      </c>
      <c r="C9" s="1">
        <v>744</v>
      </c>
      <c r="D9" s="16">
        <v>123</v>
      </c>
      <c r="E9" s="6">
        <v>24</v>
      </c>
      <c r="F9" s="12">
        <v>66</v>
      </c>
      <c r="G9" s="5">
        <v>24</v>
      </c>
      <c r="H9" s="5">
        <v>66</v>
      </c>
      <c r="I9" s="5">
        <v>6</v>
      </c>
      <c r="J9" s="5">
        <v>48</v>
      </c>
      <c r="K9" s="5">
        <v>30</v>
      </c>
      <c r="L9" s="5">
        <v>72</v>
      </c>
      <c r="M9" s="32" t="s">
        <v>107</v>
      </c>
      <c r="N9" s="30">
        <v>1</v>
      </c>
    </row>
    <row r="10" spans="2:15" x14ac:dyDescent="0.3">
      <c r="B10" s="1" t="s">
        <v>189</v>
      </c>
      <c r="C10" s="1">
        <v>316</v>
      </c>
      <c r="D10" s="16">
        <v>56</v>
      </c>
      <c r="E10" s="6">
        <v>4</v>
      </c>
      <c r="F10" s="12">
        <v>23</v>
      </c>
      <c r="G10" s="5">
        <v>3</v>
      </c>
      <c r="H10" s="5">
        <v>22</v>
      </c>
      <c r="I10" s="5">
        <v>3</v>
      </c>
      <c r="J10" s="5">
        <v>22</v>
      </c>
      <c r="K10" s="5">
        <v>6</v>
      </c>
      <c r="L10" s="5">
        <v>25</v>
      </c>
      <c r="M10" s="27" t="s">
        <v>107</v>
      </c>
      <c r="N10" s="30">
        <v>1</v>
      </c>
    </row>
    <row r="11" spans="2:15" x14ac:dyDescent="0.3">
      <c r="B11" s="1" t="s">
        <v>190</v>
      </c>
      <c r="C11" s="1">
        <v>4735</v>
      </c>
      <c r="D11" s="16">
        <v>788</v>
      </c>
      <c r="E11" s="6">
        <v>113</v>
      </c>
      <c r="F11" s="12">
        <v>380</v>
      </c>
      <c r="G11" s="5">
        <v>106</v>
      </c>
      <c r="H11" s="5">
        <v>373</v>
      </c>
      <c r="I11" s="5">
        <v>40</v>
      </c>
      <c r="J11" s="5">
        <v>307</v>
      </c>
      <c r="K11" s="5">
        <v>146</v>
      </c>
      <c r="L11" s="5">
        <v>413</v>
      </c>
      <c r="M11" s="27" t="s">
        <v>107</v>
      </c>
      <c r="N11" s="30">
        <v>1</v>
      </c>
    </row>
    <row r="12" spans="2:15" x14ac:dyDescent="0.3">
      <c r="B12" s="1" t="s">
        <v>191</v>
      </c>
      <c r="C12" s="1">
        <v>692</v>
      </c>
      <c r="D12" s="16">
        <v>107</v>
      </c>
      <c r="E12" s="6">
        <v>9</v>
      </c>
      <c r="F12" s="12">
        <v>45</v>
      </c>
      <c r="G12" s="5">
        <v>7</v>
      </c>
      <c r="H12" s="5">
        <v>43</v>
      </c>
      <c r="I12" s="5">
        <v>5</v>
      </c>
      <c r="J12" s="5">
        <v>41</v>
      </c>
      <c r="K12" s="5">
        <v>12</v>
      </c>
      <c r="L12" s="5">
        <v>48</v>
      </c>
      <c r="M12" s="32" t="s">
        <v>107</v>
      </c>
      <c r="N12" s="30">
        <v>1</v>
      </c>
    </row>
    <row r="13" spans="2:15" x14ac:dyDescent="0.3">
      <c r="B13" s="1" t="s">
        <v>192</v>
      </c>
      <c r="C13" s="1">
        <v>502</v>
      </c>
      <c r="D13" s="16">
        <v>94</v>
      </c>
      <c r="E13" s="6">
        <v>9</v>
      </c>
      <c r="F13" s="12">
        <v>41</v>
      </c>
      <c r="G13" s="5">
        <v>7</v>
      </c>
      <c r="H13" s="5">
        <v>39</v>
      </c>
      <c r="I13" s="5">
        <v>5</v>
      </c>
      <c r="J13" s="5">
        <v>37</v>
      </c>
      <c r="K13" s="5">
        <v>12</v>
      </c>
      <c r="L13" s="5">
        <v>44</v>
      </c>
      <c r="M13" s="27" t="s">
        <v>107</v>
      </c>
      <c r="N13" s="30">
        <v>1</v>
      </c>
    </row>
    <row r="14" spans="2:15" x14ac:dyDescent="0.3">
      <c r="B14" s="1" t="s">
        <v>193</v>
      </c>
      <c r="C14" s="1">
        <v>6503</v>
      </c>
      <c r="D14" s="16">
        <v>1105</v>
      </c>
      <c r="E14" s="6">
        <v>100</v>
      </c>
      <c r="F14" s="12">
        <v>474</v>
      </c>
      <c r="G14" s="5">
        <v>83</v>
      </c>
      <c r="H14" s="5">
        <v>457</v>
      </c>
      <c r="I14" s="5">
        <v>56</v>
      </c>
      <c r="J14" s="5">
        <v>430</v>
      </c>
      <c r="K14" s="5">
        <v>139</v>
      </c>
      <c r="L14" s="5">
        <v>513</v>
      </c>
      <c r="M14" s="27" t="s">
        <v>107</v>
      </c>
      <c r="N14" s="30">
        <v>1</v>
      </c>
    </row>
    <row r="15" spans="2:15" x14ac:dyDescent="0.3">
      <c r="B15" s="1" t="s">
        <v>194</v>
      </c>
      <c r="C15" s="1">
        <v>832</v>
      </c>
      <c r="D15" s="16">
        <v>133</v>
      </c>
      <c r="E15" s="6">
        <v>21</v>
      </c>
      <c r="F15" s="12">
        <v>66</v>
      </c>
      <c r="G15" s="5">
        <v>20</v>
      </c>
      <c r="H15" s="5">
        <v>65</v>
      </c>
      <c r="I15" s="5">
        <v>7</v>
      </c>
      <c r="J15" s="5">
        <v>52</v>
      </c>
      <c r="K15" s="5">
        <v>27</v>
      </c>
      <c r="L15" s="5">
        <v>72</v>
      </c>
      <c r="M15" s="32" t="s">
        <v>107</v>
      </c>
      <c r="N15" s="30">
        <v>1</v>
      </c>
    </row>
    <row r="16" spans="2:15" x14ac:dyDescent="0.3">
      <c r="B16" s="1" t="s">
        <v>195</v>
      </c>
      <c r="C16" s="1">
        <v>4188</v>
      </c>
      <c r="D16" s="16">
        <v>672</v>
      </c>
      <c r="E16" s="6">
        <v>141</v>
      </c>
      <c r="F16" s="12">
        <v>369</v>
      </c>
      <c r="G16" s="5">
        <v>137</v>
      </c>
      <c r="H16" s="5">
        <v>365</v>
      </c>
      <c r="I16" s="5">
        <v>34</v>
      </c>
      <c r="J16" s="5">
        <v>262</v>
      </c>
      <c r="K16" s="5">
        <v>172</v>
      </c>
      <c r="L16" s="5">
        <v>400</v>
      </c>
      <c r="M16" s="27" t="s">
        <v>107</v>
      </c>
      <c r="N16" s="30">
        <v>1</v>
      </c>
    </row>
    <row r="17" spans="2:14" x14ac:dyDescent="0.3">
      <c r="B17" s="1" t="s">
        <v>196</v>
      </c>
      <c r="C17" s="1">
        <v>4088</v>
      </c>
      <c r="D17" s="16">
        <v>699</v>
      </c>
      <c r="E17" s="6">
        <v>92</v>
      </c>
      <c r="F17" s="12">
        <v>328</v>
      </c>
      <c r="G17" s="5">
        <v>85</v>
      </c>
      <c r="H17" s="5">
        <v>321</v>
      </c>
      <c r="I17" s="5">
        <v>36</v>
      </c>
      <c r="J17" s="5">
        <v>272</v>
      </c>
      <c r="K17" s="5">
        <v>121</v>
      </c>
      <c r="L17" s="5">
        <v>357</v>
      </c>
      <c r="M17" s="27" t="s">
        <v>107</v>
      </c>
      <c r="N17" s="30">
        <v>1</v>
      </c>
    </row>
    <row r="18" spans="2:14" x14ac:dyDescent="0.3">
      <c r="B18" s="1" t="s">
        <v>149</v>
      </c>
      <c r="C18" s="1">
        <v>2367</v>
      </c>
      <c r="D18" s="16">
        <v>384</v>
      </c>
      <c r="E18" s="6">
        <v>106</v>
      </c>
      <c r="F18" s="12">
        <v>236</v>
      </c>
      <c r="G18" s="5">
        <v>104</v>
      </c>
      <c r="H18" s="5">
        <v>234</v>
      </c>
      <c r="I18" s="5">
        <v>20</v>
      </c>
      <c r="J18" s="5">
        <v>150</v>
      </c>
      <c r="K18" s="5">
        <v>124</v>
      </c>
      <c r="L18" s="5">
        <v>254</v>
      </c>
      <c r="M18" s="32" t="s">
        <v>107</v>
      </c>
      <c r="N18" s="30">
        <v>1</v>
      </c>
    </row>
    <row r="19" spans="2:14" x14ac:dyDescent="0.3">
      <c r="B19" s="1" t="s">
        <v>197</v>
      </c>
      <c r="C19" s="1">
        <v>763</v>
      </c>
      <c r="D19" s="16">
        <v>141</v>
      </c>
      <c r="E19" s="6">
        <v>34</v>
      </c>
      <c r="F19" s="12">
        <v>82</v>
      </c>
      <c r="G19" s="5">
        <v>33</v>
      </c>
      <c r="H19" s="5">
        <v>81</v>
      </c>
      <c r="I19" s="5">
        <v>7</v>
      </c>
      <c r="J19" s="5">
        <v>55</v>
      </c>
      <c r="K19" s="5">
        <v>40</v>
      </c>
      <c r="L19" s="5">
        <v>88</v>
      </c>
      <c r="M19" s="27" t="s">
        <v>107</v>
      </c>
      <c r="N19" s="30">
        <v>1</v>
      </c>
    </row>
    <row r="20" spans="2:14" x14ac:dyDescent="0.3">
      <c r="B20" s="1" t="s">
        <v>151</v>
      </c>
      <c r="C20" s="1">
        <v>2367</v>
      </c>
      <c r="D20" s="16">
        <v>355</v>
      </c>
      <c r="E20" s="6">
        <v>20</v>
      </c>
      <c r="F20" s="12">
        <v>140</v>
      </c>
      <c r="G20" s="5">
        <v>9</v>
      </c>
      <c r="H20" s="5">
        <v>129</v>
      </c>
      <c r="I20" s="5">
        <v>18</v>
      </c>
      <c r="J20" s="5">
        <v>138</v>
      </c>
      <c r="K20" s="5">
        <v>27</v>
      </c>
      <c r="L20" s="5">
        <v>147</v>
      </c>
      <c r="M20" s="27" t="s">
        <v>107</v>
      </c>
      <c r="N20" s="30">
        <v>1</v>
      </c>
    </row>
    <row r="21" spans="2:14" x14ac:dyDescent="0.3">
      <c r="B21" s="1" t="s">
        <v>198</v>
      </c>
      <c r="C21" s="1">
        <v>792</v>
      </c>
      <c r="D21" s="16">
        <v>130</v>
      </c>
      <c r="E21" s="6">
        <v>44</v>
      </c>
      <c r="F21" s="12">
        <v>88</v>
      </c>
      <c r="G21" s="5">
        <v>43</v>
      </c>
      <c r="H21" s="5">
        <v>87</v>
      </c>
      <c r="I21" s="5">
        <v>7</v>
      </c>
      <c r="J21" s="5">
        <v>51</v>
      </c>
      <c r="K21" s="5">
        <v>50</v>
      </c>
      <c r="L21" s="5">
        <v>94</v>
      </c>
      <c r="M21" s="32" t="s">
        <v>107</v>
      </c>
      <c r="N21" s="30">
        <v>1</v>
      </c>
    </row>
    <row r="22" spans="2:14" x14ac:dyDescent="0.3">
      <c r="B22" s="1" t="s">
        <v>199</v>
      </c>
      <c r="C22" s="1">
        <v>4929</v>
      </c>
      <c r="D22" s="16">
        <v>848</v>
      </c>
      <c r="E22" s="6">
        <v>78</v>
      </c>
      <c r="F22" s="12">
        <v>365</v>
      </c>
      <c r="G22" s="5">
        <v>65</v>
      </c>
      <c r="H22" s="5">
        <v>352</v>
      </c>
      <c r="I22" s="5">
        <v>43</v>
      </c>
      <c r="J22" s="5">
        <v>330</v>
      </c>
      <c r="K22" s="5">
        <v>108</v>
      </c>
      <c r="L22" s="5">
        <v>395</v>
      </c>
      <c r="M22" s="27" t="s">
        <v>107</v>
      </c>
      <c r="N22" s="30">
        <v>1</v>
      </c>
    </row>
    <row r="23" spans="2:14" x14ac:dyDescent="0.3">
      <c r="B23" s="1" t="s">
        <v>200</v>
      </c>
      <c r="C23" s="1">
        <v>2776</v>
      </c>
      <c r="D23" s="16">
        <v>362</v>
      </c>
      <c r="E23" s="6">
        <v>41</v>
      </c>
      <c r="F23" s="12">
        <v>164</v>
      </c>
      <c r="G23" s="5">
        <v>36</v>
      </c>
      <c r="H23" s="5">
        <v>159</v>
      </c>
      <c r="I23" s="5">
        <v>18</v>
      </c>
      <c r="J23" s="5">
        <v>141</v>
      </c>
      <c r="K23" s="5">
        <v>55</v>
      </c>
      <c r="L23" s="5">
        <v>178</v>
      </c>
      <c r="M23" s="27" t="s">
        <v>107</v>
      </c>
      <c r="N23" s="30">
        <v>1</v>
      </c>
    </row>
    <row r="24" spans="2:14" x14ac:dyDescent="0.3">
      <c r="B24" s="1" t="s">
        <v>201</v>
      </c>
      <c r="C24" s="1">
        <v>360</v>
      </c>
      <c r="D24" s="16">
        <v>41</v>
      </c>
      <c r="E24" s="6">
        <v>12</v>
      </c>
      <c r="F24" s="12">
        <v>26</v>
      </c>
      <c r="G24" s="5">
        <v>11</v>
      </c>
      <c r="H24" s="5">
        <v>25</v>
      </c>
      <c r="I24" s="5">
        <v>2</v>
      </c>
      <c r="J24" s="5">
        <v>16</v>
      </c>
      <c r="K24" s="5">
        <v>14</v>
      </c>
      <c r="L24" s="5">
        <v>28</v>
      </c>
      <c r="M24" s="32" t="s">
        <v>107</v>
      </c>
      <c r="N24" s="30">
        <v>1</v>
      </c>
    </row>
    <row r="25" spans="2:14" x14ac:dyDescent="0.3">
      <c r="B25" s="1" t="s">
        <v>202</v>
      </c>
      <c r="C25" s="1">
        <v>1940</v>
      </c>
      <c r="D25" s="16">
        <v>301</v>
      </c>
      <c r="E25" s="6">
        <v>62</v>
      </c>
      <c r="F25" s="12">
        <v>164</v>
      </c>
      <c r="G25" s="5">
        <v>60</v>
      </c>
      <c r="H25" s="5">
        <v>162</v>
      </c>
      <c r="I25" s="5">
        <v>15</v>
      </c>
      <c r="J25" s="5">
        <v>117</v>
      </c>
      <c r="K25" s="5">
        <v>75</v>
      </c>
      <c r="L25" s="5">
        <v>177</v>
      </c>
      <c r="M25" s="27" t="s">
        <v>107</v>
      </c>
      <c r="N25" s="30">
        <v>1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B9B9-09AC-4E4B-8CB9-31EA2E64B5AF}">
  <dimension ref="B2:O9"/>
  <sheetViews>
    <sheetView showGridLines="0" zoomScaleNormal="100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L4" sqref="L4"/>
    </sheetView>
  </sheetViews>
  <sheetFormatPr defaultRowHeight="14.4" x14ac:dyDescent="0.3"/>
  <cols>
    <col min="2" max="2" width="27.21875" bestFit="1" customWidth="1"/>
    <col min="3" max="3" width="9.88671875" bestFit="1" customWidth="1"/>
    <col min="4" max="4" width="8.44140625" style="14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109375" bestFit="1" customWidth="1"/>
    <col min="14" max="14" width="7.6640625" bestFit="1" customWidth="1"/>
    <col min="15" max="15" width="51.88671875" customWidth="1"/>
  </cols>
  <sheetData>
    <row r="2" spans="2:15" s="3" customFormat="1" ht="43.2" x14ac:dyDescent="0.3"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</row>
    <row r="3" spans="2:15" s="9" customFormat="1" ht="31.2" x14ac:dyDescent="0.3">
      <c r="B3" s="7" t="s">
        <v>12</v>
      </c>
      <c r="C3" s="7" t="s">
        <v>13</v>
      </c>
      <c r="D3" s="7" t="s">
        <v>14</v>
      </c>
      <c r="E3" s="8" t="s">
        <v>11</v>
      </c>
      <c r="F3" s="10" t="s">
        <v>101</v>
      </c>
      <c r="G3" s="10" t="s">
        <v>8</v>
      </c>
      <c r="H3" s="10" t="s">
        <v>100</v>
      </c>
      <c r="I3" s="10" t="s">
        <v>9</v>
      </c>
      <c r="J3" s="10" t="s">
        <v>100</v>
      </c>
      <c r="K3" s="10" t="s">
        <v>10</v>
      </c>
      <c r="L3" s="10" t="s">
        <v>100</v>
      </c>
      <c r="M3" s="10" t="s">
        <v>112</v>
      </c>
      <c r="N3" s="10" t="s">
        <v>113</v>
      </c>
    </row>
    <row r="4" spans="2:15" x14ac:dyDescent="0.3">
      <c r="B4" s="1" t="s">
        <v>15</v>
      </c>
      <c r="C4" s="1">
        <v>2201</v>
      </c>
      <c r="D4" s="20">
        <v>324.33333333333331</v>
      </c>
      <c r="E4" s="5">
        <v>24</v>
      </c>
      <c r="F4" s="5">
        <v>134</v>
      </c>
      <c r="G4" s="5">
        <v>17</v>
      </c>
      <c r="H4" s="5">
        <v>127</v>
      </c>
      <c r="I4" s="5">
        <v>17</v>
      </c>
      <c r="J4" s="5">
        <v>127</v>
      </c>
      <c r="K4" s="6">
        <v>34</v>
      </c>
      <c r="L4" s="6">
        <v>144</v>
      </c>
      <c r="M4" s="29" t="s">
        <v>109</v>
      </c>
      <c r="N4" s="30">
        <v>1</v>
      </c>
      <c r="O4" t="s">
        <v>20</v>
      </c>
    </row>
    <row r="5" spans="2:15" x14ac:dyDescent="0.3">
      <c r="B5" s="1" t="s">
        <v>16</v>
      </c>
      <c r="C5" s="1">
        <v>1992</v>
      </c>
      <c r="D5" s="20">
        <v>337.66666666666669</v>
      </c>
      <c r="E5" s="5">
        <v>43</v>
      </c>
      <c r="F5" s="5">
        <v>157</v>
      </c>
      <c r="G5" s="5">
        <v>40</v>
      </c>
      <c r="H5" s="5">
        <v>154</v>
      </c>
      <c r="I5" s="5">
        <v>17</v>
      </c>
      <c r="J5" s="5">
        <v>131</v>
      </c>
      <c r="K5" s="6">
        <v>57</v>
      </c>
      <c r="L5" s="6">
        <v>171</v>
      </c>
      <c r="M5" s="29" t="s">
        <v>109</v>
      </c>
      <c r="N5" s="30">
        <v>1</v>
      </c>
      <c r="O5" t="s">
        <v>3</v>
      </c>
    </row>
    <row r="6" spans="2:15" x14ac:dyDescent="0.3">
      <c r="B6" s="1" t="s">
        <v>17</v>
      </c>
      <c r="C6" s="1">
        <v>2059</v>
      </c>
      <c r="D6" s="20">
        <v>319.33333333333331</v>
      </c>
      <c r="E6" s="5">
        <v>47</v>
      </c>
      <c r="F6" s="5">
        <v>155</v>
      </c>
      <c r="G6" s="5">
        <v>44</v>
      </c>
      <c r="H6" s="5">
        <v>152</v>
      </c>
      <c r="I6" s="5">
        <v>24</v>
      </c>
      <c r="J6" s="5">
        <v>132</v>
      </c>
      <c r="K6" s="6">
        <v>17</v>
      </c>
      <c r="L6" s="6">
        <v>125</v>
      </c>
      <c r="M6" s="29" t="s">
        <v>109</v>
      </c>
      <c r="N6" s="30">
        <v>1</v>
      </c>
      <c r="O6" t="s">
        <v>2</v>
      </c>
    </row>
    <row r="7" spans="2:15" x14ac:dyDescent="0.3">
      <c r="B7" s="1" t="s">
        <v>18</v>
      </c>
      <c r="C7" s="1">
        <v>5127</v>
      </c>
      <c r="D7" s="20">
        <v>871.33333333333337</v>
      </c>
      <c r="E7" s="5">
        <v>107</v>
      </c>
      <c r="F7" s="5">
        <v>402</v>
      </c>
      <c r="G7" s="5">
        <v>98</v>
      </c>
      <c r="H7" s="5">
        <v>393</v>
      </c>
      <c r="I7" s="5">
        <v>43</v>
      </c>
      <c r="J7" s="5">
        <v>338</v>
      </c>
      <c r="K7" s="6">
        <v>40</v>
      </c>
      <c r="L7" s="6">
        <v>335</v>
      </c>
      <c r="M7" s="29" t="s">
        <v>107</v>
      </c>
      <c r="N7" s="30">
        <v>1</v>
      </c>
      <c r="O7" t="s">
        <v>1</v>
      </c>
    </row>
    <row r="8" spans="2:15" x14ac:dyDescent="0.3">
      <c r="B8" s="1" t="s">
        <v>19</v>
      </c>
      <c r="C8" s="1">
        <v>1345</v>
      </c>
      <c r="D8" s="20">
        <v>200.33333333333334</v>
      </c>
      <c r="E8" s="5">
        <v>53</v>
      </c>
      <c r="F8" s="5">
        <v>121</v>
      </c>
      <c r="G8" s="5">
        <v>52</v>
      </c>
      <c r="H8" s="5">
        <v>120</v>
      </c>
      <c r="I8" s="5">
        <v>47</v>
      </c>
      <c r="J8" s="5">
        <v>115</v>
      </c>
      <c r="K8" s="6">
        <v>44</v>
      </c>
      <c r="L8" s="6">
        <v>112</v>
      </c>
      <c r="M8" s="29" t="s">
        <v>109</v>
      </c>
      <c r="N8" s="30">
        <v>1</v>
      </c>
      <c r="O8" t="s">
        <v>0</v>
      </c>
    </row>
    <row r="9" spans="2:15" x14ac:dyDescent="0.3">
      <c r="O9" t="s">
        <v>99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46179-A1F5-46F9-B8A2-20EF0D56378E}">
  <dimension ref="B2:O12"/>
  <sheetViews>
    <sheetView showGridLines="0" zoomScaleNormal="100" workbookViewId="0">
      <pane xSplit="2" ySplit="3" topLeftCell="E4" activePane="bottomRight" state="frozen"/>
      <selection pane="topRight" activeCell="B1" sqref="B1"/>
      <selection pane="bottomLeft" activeCell="A4" sqref="A4"/>
      <selection pane="bottomRight" activeCell="G25" sqref="G25"/>
    </sheetView>
  </sheetViews>
  <sheetFormatPr defaultRowHeight="14.4" x14ac:dyDescent="0.3"/>
  <cols>
    <col min="2" max="2" width="21.5546875" bestFit="1" customWidth="1"/>
    <col min="3" max="3" width="9.88671875" bestFit="1" customWidth="1"/>
    <col min="4" max="4" width="12" style="14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109375" bestFit="1" customWidth="1"/>
    <col min="14" max="14" width="7.6640625" bestFit="1" customWidth="1"/>
    <col min="15" max="15" width="54.21875" bestFit="1" customWidth="1"/>
  </cols>
  <sheetData>
    <row r="2" spans="2:15" s="3" customFormat="1" ht="43.2" x14ac:dyDescent="0.3"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  <c r="N2" s="4"/>
    </row>
    <row r="3" spans="2:15" s="9" customFormat="1" ht="31.2" x14ac:dyDescent="0.3">
      <c r="B3" s="7" t="s">
        <v>12</v>
      </c>
      <c r="C3" s="7" t="s">
        <v>13</v>
      </c>
      <c r="D3" s="7" t="s">
        <v>14</v>
      </c>
      <c r="E3" s="8" t="s">
        <v>11</v>
      </c>
      <c r="F3" s="10" t="s">
        <v>100</v>
      </c>
      <c r="G3" s="19" t="s">
        <v>8</v>
      </c>
      <c r="H3" s="10" t="s">
        <v>100</v>
      </c>
      <c r="I3" s="19" t="s">
        <v>9</v>
      </c>
      <c r="J3" s="10" t="s">
        <v>100</v>
      </c>
      <c r="K3" s="17" t="s">
        <v>10</v>
      </c>
      <c r="L3" s="10" t="s">
        <v>100</v>
      </c>
      <c r="M3" s="10" t="s">
        <v>114</v>
      </c>
      <c r="N3" s="10" t="s">
        <v>113</v>
      </c>
    </row>
    <row r="4" spans="2:15" x14ac:dyDescent="0.3">
      <c r="B4" s="1" t="s">
        <v>21</v>
      </c>
      <c r="C4" s="1">
        <v>300</v>
      </c>
      <c r="D4" s="20">
        <v>52.666666666666664</v>
      </c>
      <c r="E4" s="6">
        <v>11</v>
      </c>
      <c r="F4" s="6">
        <v>29</v>
      </c>
      <c r="G4" s="18">
        <v>10</v>
      </c>
      <c r="H4" s="5">
        <v>28</v>
      </c>
      <c r="I4" s="18">
        <v>3</v>
      </c>
      <c r="J4" s="5">
        <v>21</v>
      </c>
      <c r="K4" s="18">
        <v>13</v>
      </c>
      <c r="L4" s="5">
        <v>31</v>
      </c>
      <c r="M4" s="27" t="s">
        <v>107</v>
      </c>
      <c r="N4" s="30">
        <v>1</v>
      </c>
      <c r="O4" s="9" t="s">
        <v>20</v>
      </c>
    </row>
    <row r="5" spans="2:15" x14ac:dyDescent="0.3">
      <c r="B5" s="1" t="s">
        <v>22</v>
      </c>
      <c r="C5" s="1">
        <v>2811</v>
      </c>
      <c r="D5" s="20">
        <v>503.33333333333331</v>
      </c>
      <c r="E5" s="6">
        <v>80</v>
      </c>
      <c r="F5" s="6">
        <v>250</v>
      </c>
      <c r="G5" s="18">
        <v>76</v>
      </c>
      <c r="H5" s="5">
        <v>246</v>
      </c>
      <c r="I5" s="18">
        <v>26</v>
      </c>
      <c r="J5" s="5">
        <v>196</v>
      </c>
      <c r="K5" s="18">
        <v>102</v>
      </c>
      <c r="L5" s="5">
        <v>272</v>
      </c>
      <c r="M5" s="27" t="s">
        <v>107</v>
      </c>
      <c r="N5" s="30">
        <v>1</v>
      </c>
      <c r="O5" t="s">
        <v>3</v>
      </c>
    </row>
    <row r="6" spans="2:15" x14ac:dyDescent="0.3">
      <c r="B6" s="1" t="s">
        <v>23</v>
      </c>
      <c r="C6" s="1">
        <v>890</v>
      </c>
      <c r="D6" s="20">
        <v>178.66666666666666</v>
      </c>
      <c r="E6" s="6">
        <v>78</v>
      </c>
      <c r="F6" s="6">
        <v>138</v>
      </c>
      <c r="G6" s="18">
        <v>78</v>
      </c>
      <c r="H6" s="5">
        <v>138</v>
      </c>
      <c r="I6" s="18">
        <v>9</v>
      </c>
      <c r="J6" s="5">
        <v>69</v>
      </c>
      <c r="K6" s="18">
        <v>87</v>
      </c>
      <c r="L6" s="5">
        <v>147</v>
      </c>
      <c r="M6" s="27" t="s">
        <v>107</v>
      </c>
      <c r="N6" s="30">
        <v>1</v>
      </c>
      <c r="O6" t="s">
        <v>2</v>
      </c>
    </row>
    <row r="7" spans="2:15" x14ac:dyDescent="0.3">
      <c r="B7" s="1" t="s">
        <v>24</v>
      </c>
      <c r="C7" s="1">
        <v>1833</v>
      </c>
      <c r="D7" s="20">
        <v>308.33333333333331</v>
      </c>
      <c r="E7" s="6">
        <v>24</v>
      </c>
      <c r="F7" s="6">
        <v>128</v>
      </c>
      <c r="G7" s="18">
        <v>19</v>
      </c>
      <c r="H7" s="5">
        <v>123</v>
      </c>
      <c r="I7" s="18">
        <v>16</v>
      </c>
      <c r="J7" s="5">
        <v>120</v>
      </c>
      <c r="K7" s="18">
        <v>34</v>
      </c>
      <c r="L7" s="5">
        <v>138</v>
      </c>
      <c r="M7" s="27" t="s">
        <v>107</v>
      </c>
      <c r="N7" s="30">
        <v>1</v>
      </c>
      <c r="O7" t="s">
        <v>1</v>
      </c>
    </row>
    <row r="8" spans="2:15" x14ac:dyDescent="0.3">
      <c r="B8" s="1" t="s">
        <v>25</v>
      </c>
      <c r="C8" s="1">
        <v>2048</v>
      </c>
      <c r="D8" s="20">
        <v>300.33333333333331</v>
      </c>
      <c r="E8" s="6">
        <v>40</v>
      </c>
      <c r="F8" s="6">
        <v>142</v>
      </c>
      <c r="G8" s="18">
        <v>37</v>
      </c>
      <c r="H8" s="5">
        <v>139</v>
      </c>
      <c r="I8" s="18">
        <v>15</v>
      </c>
      <c r="J8" s="5">
        <v>117</v>
      </c>
      <c r="K8" s="18">
        <v>52</v>
      </c>
      <c r="L8" s="5">
        <v>154</v>
      </c>
      <c r="M8" s="27" t="s">
        <v>107</v>
      </c>
      <c r="N8" s="30">
        <v>1</v>
      </c>
      <c r="O8" t="s">
        <v>0</v>
      </c>
    </row>
    <row r="9" spans="2:15" x14ac:dyDescent="0.3">
      <c r="B9" s="1" t="s">
        <v>26</v>
      </c>
      <c r="C9" s="1">
        <v>1176</v>
      </c>
      <c r="D9" s="20">
        <v>160.66666666666666</v>
      </c>
      <c r="E9" s="6">
        <v>18</v>
      </c>
      <c r="F9" s="6">
        <v>72</v>
      </c>
      <c r="G9" s="18">
        <v>16</v>
      </c>
      <c r="H9" s="5">
        <v>70</v>
      </c>
      <c r="I9" s="18">
        <v>8</v>
      </c>
      <c r="J9" s="5">
        <v>62</v>
      </c>
      <c r="K9" s="18">
        <v>24</v>
      </c>
      <c r="L9" s="5">
        <v>78</v>
      </c>
      <c r="M9" s="27" t="s">
        <v>107</v>
      </c>
      <c r="N9" s="30">
        <v>1</v>
      </c>
      <c r="O9" t="s">
        <v>99</v>
      </c>
    </row>
    <row r="10" spans="2:15" x14ac:dyDescent="0.3">
      <c r="B10" s="1" t="s">
        <v>27</v>
      </c>
      <c r="C10" s="1">
        <v>2533</v>
      </c>
      <c r="D10" s="20">
        <v>425.66666666666669</v>
      </c>
      <c r="E10" s="6">
        <v>59</v>
      </c>
      <c r="F10" s="6">
        <v>203</v>
      </c>
      <c r="G10" s="18">
        <v>55</v>
      </c>
      <c r="H10" s="5">
        <v>199</v>
      </c>
      <c r="I10" s="18">
        <v>22</v>
      </c>
      <c r="J10" s="5">
        <v>166</v>
      </c>
      <c r="K10" s="18">
        <v>77</v>
      </c>
      <c r="L10" s="5">
        <v>221</v>
      </c>
      <c r="M10" s="27" t="s">
        <v>107</v>
      </c>
      <c r="N10" s="30">
        <v>1</v>
      </c>
    </row>
    <row r="11" spans="2:15" x14ac:dyDescent="0.3">
      <c r="B11" s="1" t="s">
        <v>28</v>
      </c>
      <c r="C11" s="1">
        <v>3222</v>
      </c>
      <c r="D11" s="20">
        <v>554.66666666666663</v>
      </c>
      <c r="E11" s="6">
        <v>59</v>
      </c>
      <c r="F11" s="6">
        <v>247</v>
      </c>
      <c r="G11" s="18">
        <v>51</v>
      </c>
      <c r="H11" s="5">
        <v>239</v>
      </c>
      <c r="I11" s="18">
        <v>28</v>
      </c>
      <c r="J11" s="5">
        <v>216</v>
      </c>
      <c r="K11" s="18">
        <v>80</v>
      </c>
      <c r="L11" s="5">
        <v>268</v>
      </c>
      <c r="M11" s="27" t="s">
        <v>107</v>
      </c>
      <c r="N11" s="30">
        <v>1</v>
      </c>
    </row>
    <row r="12" spans="2:15" x14ac:dyDescent="0.3">
      <c r="B12" s="1" t="s">
        <v>29</v>
      </c>
      <c r="C12" s="1">
        <v>2041</v>
      </c>
      <c r="D12" s="20">
        <v>332.33333333333331</v>
      </c>
      <c r="E12" s="6">
        <v>53</v>
      </c>
      <c r="F12" s="6">
        <v>165</v>
      </c>
      <c r="G12" s="18">
        <v>50</v>
      </c>
      <c r="H12" s="5">
        <v>162</v>
      </c>
      <c r="I12" s="18">
        <v>17</v>
      </c>
      <c r="J12" s="5">
        <v>129</v>
      </c>
      <c r="K12" s="18">
        <v>67</v>
      </c>
      <c r="L12" s="5">
        <v>179</v>
      </c>
      <c r="M12" s="27" t="s">
        <v>107</v>
      </c>
      <c r="N12" s="30">
        <v>1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8A073-ECDC-4715-95BB-FFFDF3293D68}">
  <dimension ref="B2:O9"/>
  <sheetViews>
    <sheetView showGridLines="0" zoomScaleNormal="100" workbookViewId="0">
      <pane xSplit="2" ySplit="3" topLeftCell="D4" activePane="bottomRight" state="frozen"/>
      <selection pane="topRight" activeCell="B1" sqref="B1"/>
      <selection pane="bottomLeft" activeCell="A4" sqref="A4"/>
      <selection pane="bottomRight" activeCell="B4" sqref="B4:B9"/>
    </sheetView>
  </sheetViews>
  <sheetFormatPr defaultRowHeight="14.4" x14ac:dyDescent="0.3"/>
  <cols>
    <col min="2" max="2" width="22.33203125" bestFit="1" customWidth="1"/>
    <col min="3" max="3" width="9.88671875" bestFit="1" customWidth="1"/>
    <col min="4" max="4" width="8.44140625" style="14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109375" bestFit="1" customWidth="1"/>
    <col min="14" max="14" width="7.6640625" bestFit="1" customWidth="1"/>
    <col min="15" max="15" width="54.21875" bestFit="1" customWidth="1"/>
  </cols>
  <sheetData>
    <row r="2" spans="2:15" s="3" customFormat="1" ht="43.2" x14ac:dyDescent="0.3"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  <c r="N2" s="4"/>
    </row>
    <row r="3" spans="2:15" s="9" customFormat="1" ht="31.2" x14ac:dyDescent="0.3">
      <c r="B3" s="7" t="s">
        <v>12</v>
      </c>
      <c r="C3" s="7" t="s">
        <v>13</v>
      </c>
      <c r="D3" s="7" t="s">
        <v>14</v>
      </c>
      <c r="E3" s="8" t="s">
        <v>11</v>
      </c>
      <c r="F3" s="10" t="s">
        <v>100</v>
      </c>
      <c r="G3" s="19" t="s">
        <v>8</v>
      </c>
      <c r="H3" s="10" t="s">
        <v>100</v>
      </c>
      <c r="I3" s="19" t="s">
        <v>9</v>
      </c>
      <c r="J3" s="10" t="s">
        <v>100</v>
      </c>
      <c r="K3" s="19" t="s">
        <v>10</v>
      </c>
      <c r="L3" s="10" t="s">
        <v>100</v>
      </c>
      <c r="M3" s="10" t="s">
        <v>114</v>
      </c>
      <c r="N3" s="10" t="s">
        <v>113</v>
      </c>
    </row>
    <row r="4" spans="2:15" x14ac:dyDescent="0.3">
      <c r="B4" s="1" t="s">
        <v>92</v>
      </c>
      <c r="C4" s="1">
        <v>1328</v>
      </c>
      <c r="D4" s="20">
        <v>215.66666666666666</v>
      </c>
      <c r="E4" s="6">
        <v>29</v>
      </c>
      <c r="F4" s="6">
        <v>102</v>
      </c>
      <c r="G4" s="18">
        <v>27</v>
      </c>
      <c r="H4" s="5">
        <v>100</v>
      </c>
      <c r="I4" s="18">
        <v>11</v>
      </c>
      <c r="J4" s="5">
        <v>84</v>
      </c>
      <c r="K4" s="18">
        <v>38</v>
      </c>
      <c r="L4" s="5">
        <v>111</v>
      </c>
      <c r="M4" s="27" t="s">
        <v>107</v>
      </c>
      <c r="N4" s="30">
        <v>1</v>
      </c>
      <c r="O4" t="s">
        <v>20</v>
      </c>
    </row>
    <row r="5" spans="2:15" x14ac:dyDescent="0.3">
      <c r="B5" s="1" t="s">
        <v>93</v>
      </c>
      <c r="C5" s="1">
        <v>1258</v>
      </c>
      <c r="D5" s="20">
        <v>232.33333333333334</v>
      </c>
      <c r="E5" s="6">
        <v>55</v>
      </c>
      <c r="F5" s="6">
        <v>134</v>
      </c>
      <c r="G5" s="18">
        <v>53</v>
      </c>
      <c r="H5" s="5">
        <v>132</v>
      </c>
      <c r="I5" s="18">
        <v>12</v>
      </c>
      <c r="J5" s="5">
        <v>91</v>
      </c>
      <c r="K5" s="18">
        <v>65</v>
      </c>
      <c r="L5" s="5">
        <v>144</v>
      </c>
      <c r="M5" s="27" t="s">
        <v>107</v>
      </c>
      <c r="N5" s="30">
        <v>1</v>
      </c>
      <c r="O5" t="s">
        <v>3</v>
      </c>
    </row>
    <row r="6" spans="2:15" x14ac:dyDescent="0.3">
      <c r="B6" s="1" t="s">
        <v>94</v>
      </c>
      <c r="C6" s="1">
        <v>2329</v>
      </c>
      <c r="D6" s="20">
        <v>378.33333333333331</v>
      </c>
      <c r="E6" s="6">
        <v>22</v>
      </c>
      <c r="F6" s="6">
        <v>150</v>
      </c>
      <c r="G6" s="18">
        <v>11</v>
      </c>
      <c r="H6" s="5">
        <v>139</v>
      </c>
      <c r="I6" s="18">
        <v>19</v>
      </c>
      <c r="J6" s="5">
        <v>147</v>
      </c>
      <c r="K6" s="18">
        <v>31</v>
      </c>
      <c r="L6" s="5">
        <v>159</v>
      </c>
      <c r="M6" s="27" t="s">
        <v>107</v>
      </c>
      <c r="N6" s="30">
        <v>1</v>
      </c>
      <c r="O6" t="s">
        <v>2</v>
      </c>
    </row>
    <row r="7" spans="2:15" x14ac:dyDescent="0.3">
      <c r="B7" s="1" t="s">
        <v>95</v>
      </c>
      <c r="C7" s="1">
        <v>1165</v>
      </c>
      <c r="D7" s="20">
        <v>198.33333333333334</v>
      </c>
      <c r="E7" s="6">
        <v>36</v>
      </c>
      <c r="F7" s="6">
        <v>103</v>
      </c>
      <c r="G7" s="18">
        <v>35</v>
      </c>
      <c r="H7" s="5">
        <v>102</v>
      </c>
      <c r="I7" s="18">
        <v>10</v>
      </c>
      <c r="J7" s="5">
        <v>77</v>
      </c>
      <c r="K7" s="18">
        <v>45</v>
      </c>
      <c r="L7" s="5">
        <v>112</v>
      </c>
      <c r="M7" s="27" t="s">
        <v>107</v>
      </c>
      <c r="N7" s="30">
        <v>1</v>
      </c>
      <c r="O7" t="s">
        <v>1</v>
      </c>
    </row>
    <row r="8" spans="2:15" x14ac:dyDescent="0.3">
      <c r="B8" s="1" t="s">
        <v>96</v>
      </c>
      <c r="C8" s="1">
        <v>1254</v>
      </c>
      <c r="D8" s="20">
        <v>203</v>
      </c>
      <c r="E8" s="6">
        <v>35</v>
      </c>
      <c r="F8" s="6">
        <v>104</v>
      </c>
      <c r="G8" s="18">
        <v>33</v>
      </c>
      <c r="H8" s="5">
        <v>102</v>
      </c>
      <c r="I8" s="18">
        <v>10</v>
      </c>
      <c r="J8" s="5">
        <v>79</v>
      </c>
      <c r="K8" s="18">
        <v>44</v>
      </c>
      <c r="L8" s="5">
        <v>113</v>
      </c>
      <c r="M8" s="27" t="s">
        <v>107</v>
      </c>
      <c r="N8" s="30">
        <v>1</v>
      </c>
      <c r="O8" t="s">
        <v>0</v>
      </c>
    </row>
    <row r="9" spans="2:15" x14ac:dyDescent="0.3">
      <c r="B9" s="1" t="s">
        <v>97</v>
      </c>
      <c r="C9" s="1">
        <v>1228</v>
      </c>
      <c r="D9" s="20">
        <v>281.33333333333331</v>
      </c>
      <c r="E9" s="6">
        <v>65</v>
      </c>
      <c r="F9" s="6">
        <v>160</v>
      </c>
      <c r="G9" s="18">
        <v>63</v>
      </c>
      <c r="H9" s="5">
        <v>158</v>
      </c>
      <c r="I9" s="18">
        <v>14</v>
      </c>
      <c r="J9" s="5">
        <v>109</v>
      </c>
      <c r="K9" s="18">
        <v>77</v>
      </c>
      <c r="L9" s="5">
        <v>172</v>
      </c>
      <c r="M9" s="27" t="s">
        <v>107</v>
      </c>
      <c r="N9" s="30">
        <v>1</v>
      </c>
      <c r="O9" t="s">
        <v>99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7899-218E-4734-8859-A64D492DBA9E}">
  <dimension ref="B2:O39"/>
  <sheetViews>
    <sheetView showGridLines="0" zoomScaleNormal="100" workbookViewId="0">
      <pane xSplit="2" ySplit="3" topLeftCell="H4" activePane="bottomRight" state="frozen"/>
      <selection pane="topRight" activeCell="B1" sqref="B1"/>
      <selection pane="bottomLeft" activeCell="A4" sqref="A4"/>
      <selection pane="bottomRight" activeCell="B39" sqref="B3:B39"/>
    </sheetView>
  </sheetViews>
  <sheetFormatPr defaultRowHeight="14.4" x14ac:dyDescent="0.3"/>
  <cols>
    <col min="2" max="2" width="21.44140625" bestFit="1" customWidth="1"/>
    <col min="3" max="3" width="9.88671875" bestFit="1" customWidth="1"/>
    <col min="4" max="4" width="8.44140625" style="14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5546875" customWidth="1"/>
    <col min="14" max="14" width="12.33203125" customWidth="1"/>
    <col min="15" max="15" width="54.21875" bestFit="1" customWidth="1"/>
  </cols>
  <sheetData>
    <row r="2" spans="2:15" s="3" customFormat="1" ht="43.2" x14ac:dyDescent="0.3">
      <c r="C2" s="3">
        <f>D6*E6</f>
        <v>450406.66666666663</v>
      </c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</row>
    <row r="3" spans="2:15" s="9" customFormat="1" ht="43.2" x14ac:dyDescent="0.3">
      <c r="B3" s="7" t="s">
        <v>12</v>
      </c>
      <c r="C3" s="7" t="s">
        <v>13</v>
      </c>
      <c r="D3" s="7" t="s">
        <v>14</v>
      </c>
      <c r="E3" s="10" t="s">
        <v>11</v>
      </c>
      <c r="F3" s="10" t="s">
        <v>100</v>
      </c>
      <c r="G3" s="10" t="s">
        <v>8</v>
      </c>
      <c r="H3" s="10" t="s">
        <v>100</v>
      </c>
      <c r="I3" s="19" t="s">
        <v>9</v>
      </c>
      <c r="J3" s="10" t="s">
        <v>100</v>
      </c>
      <c r="K3" s="19" t="s">
        <v>10</v>
      </c>
      <c r="L3" s="10" t="s">
        <v>100</v>
      </c>
      <c r="M3" s="10" t="s">
        <v>106</v>
      </c>
      <c r="N3" s="10" t="s">
        <v>110</v>
      </c>
    </row>
    <row r="4" spans="2:15" x14ac:dyDescent="0.3">
      <c r="B4" s="1" t="s">
        <v>32</v>
      </c>
      <c r="C4" s="1">
        <v>16390</v>
      </c>
      <c r="D4" s="20">
        <v>2646.3333333333335</v>
      </c>
      <c r="E4" s="6">
        <v>185</v>
      </c>
      <c r="F4" s="6">
        <v>1081</v>
      </c>
      <c r="G4" s="5">
        <v>127</v>
      </c>
      <c r="H4" s="5">
        <v>1023</v>
      </c>
      <c r="I4" s="18">
        <v>135</v>
      </c>
      <c r="J4" s="5">
        <v>1031</v>
      </c>
      <c r="K4" s="18">
        <v>262</v>
      </c>
      <c r="L4" s="5">
        <v>1158</v>
      </c>
      <c r="M4" s="27" t="s">
        <v>107</v>
      </c>
      <c r="N4" s="33">
        <v>0.9</v>
      </c>
      <c r="O4" t="s">
        <v>0</v>
      </c>
    </row>
    <row r="5" spans="2:15" x14ac:dyDescent="0.3">
      <c r="B5" s="1" t="s">
        <v>40</v>
      </c>
      <c r="C5" s="1">
        <v>14140</v>
      </c>
      <c r="D5" s="20">
        <v>2298.3333333333335</v>
      </c>
      <c r="E5" s="6">
        <v>221</v>
      </c>
      <c r="F5" s="6">
        <v>999</v>
      </c>
      <c r="G5" s="5">
        <v>187</v>
      </c>
      <c r="H5" s="5">
        <v>965</v>
      </c>
      <c r="I5" s="18">
        <v>117</v>
      </c>
      <c r="J5" s="5">
        <v>895</v>
      </c>
      <c r="K5" s="18">
        <v>304</v>
      </c>
      <c r="L5" s="5">
        <v>1082</v>
      </c>
      <c r="M5" s="27" t="s">
        <v>107</v>
      </c>
      <c r="N5" s="33">
        <v>0.9</v>
      </c>
      <c r="O5" t="s">
        <v>1</v>
      </c>
    </row>
    <row r="6" spans="2:15" x14ac:dyDescent="0.3">
      <c r="B6" s="1" t="s">
        <v>45</v>
      </c>
      <c r="C6" s="1">
        <v>10910</v>
      </c>
      <c r="D6" s="20">
        <v>1732.3333333333333</v>
      </c>
      <c r="E6" s="6">
        <v>260</v>
      </c>
      <c r="F6" s="6">
        <v>846</v>
      </c>
      <c r="G6" s="5">
        <v>245</v>
      </c>
      <c r="H6" s="5">
        <v>831</v>
      </c>
      <c r="I6" s="18">
        <v>88</v>
      </c>
      <c r="J6" s="5">
        <v>674</v>
      </c>
      <c r="K6" s="18">
        <v>333</v>
      </c>
      <c r="L6" s="5">
        <v>919</v>
      </c>
      <c r="M6" s="27" t="s">
        <v>107</v>
      </c>
      <c r="N6" s="33">
        <v>0.95</v>
      </c>
      <c r="O6" t="s">
        <v>2</v>
      </c>
    </row>
    <row r="7" spans="2:15" x14ac:dyDescent="0.3">
      <c r="B7" s="1" t="s">
        <v>37</v>
      </c>
      <c r="C7" s="1">
        <v>8008</v>
      </c>
      <c r="D7" s="20">
        <v>1257.6666666666667</v>
      </c>
      <c r="E7" s="6">
        <v>173</v>
      </c>
      <c r="F7" s="6">
        <v>599</v>
      </c>
      <c r="G7" s="5">
        <v>160</v>
      </c>
      <c r="H7" s="5">
        <v>586</v>
      </c>
      <c r="I7" s="18">
        <v>64</v>
      </c>
      <c r="J7" s="5">
        <v>490</v>
      </c>
      <c r="K7" s="18">
        <v>224</v>
      </c>
      <c r="L7" s="5">
        <v>650</v>
      </c>
      <c r="M7" s="27" t="s">
        <v>107</v>
      </c>
      <c r="N7" s="33">
        <v>1</v>
      </c>
      <c r="O7" t="s">
        <v>3</v>
      </c>
    </row>
    <row r="8" spans="2:15" x14ac:dyDescent="0.3">
      <c r="B8" s="1" t="s">
        <v>59</v>
      </c>
      <c r="C8" s="1">
        <v>7431</v>
      </c>
      <c r="D8" s="20">
        <v>1074.3333333333333</v>
      </c>
      <c r="E8" s="6">
        <v>336</v>
      </c>
      <c r="F8" s="6">
        <v>700</v>
      </c>
      <c r="G8" s="5">
        <v>331</v>
      </c>
      <c r="H8" s="5">
        <v>695</v>
      </c>
      <c r="I8" s="18">
        <v>55</v>
      </c>
      <c r="J8" s="5">
        <v>419</v>
      </c>
      <c r="K8" s="18">
        <v>386</v>
      </c>
      <c r="L8" s="5">
        <v>750</v>
      </c>
      <c r="M8" s="27" t="s">
        <v>107</v>
      </c>
      <c r="N8" s="33">
        <v>1</v>
      </c>
      <c r="O8" s="9" t="s">
        <v>20</v>
      </c>
    </row>
    <row r="9" spans="2:15" x14ac:dyDescent="0.3">
      <c r="B9" s="1" t="s">
        <v>48</v>
      </c>
      <c r="C9" s="1">
        <v>6267</v>
      </c>
      <c r="D9" s="20">
        <v>1034</v>
      </c>
      <c r="E9" s="6">
        <v>113</v>
      </c>
      <c r="F9" s="6">
        <v>463</v>
      </c>
      <c r="G9" s="5">
        <v>100</v>
      </c>
      <c r="H9" s="5">
        <v>450</v>
      </c>
      <c r="I9" s="18">
        <v>53</v>
      </c>
      <c r="J9" s="5">
        <v>403</v>
      </c>
      <c r="K9" s="18">
        <v>153</v>
      </c>
      <c r="L9" s="5">
        <v>503</v>
      </c>
      <c r="M9" s="27" t="s">
        <v>107</v>
      </c>
      <c r="N9" s="33">
        <v>1</v>
      </c>
      <c r="O9" t="s">
        <v>99</v>
      </c>
    </row>
    <row r="10" spans="2:15" x14ac:dyDescent="0.3">
      <c r="B10" s="1" t="s">
        <v>51</v>
      </c>
      <c r="C10" s="1">
        <v>5599</v>
      </c>
      <c r="D10" s="20">
        <v>877.33333333333337</v>
      </c>
      <c r="E10" s="6">
        <v>174</v>
      </c>
      <c r="F10" s="6">
        <v>471</v>
      </c>
      <c r="G10" s="5">
        <v>168</v>
      </c>
      <c r="H10" s="5">
        <v>465</v>
      </c>
      <c r="I10" s="18">
        <v>45</v>
      </c>
      <c r="J10" s="5">
        <v>342</v>
      </c>
      <c r="K10" s="18">
        <v>213</v>
      </c>
      <c r="L10" s="5">
        <v>510</v>
      </c>
      <c r="M10" s="27" t="s">
        <v>107</v>
      </c>
      <c r="N10" s="33">
        <v>1</v>
      </c>
    </row>
    <row r="11" spans="2:15" x14ac:dyDescent="0.3">
      <c r="B11" s="1" t="s">
        <v>49</v>
      </c>
      <c r="C11" s="1">
        <v>5067</v>
      </c>
      <c r="D11" s="20">
        <v>749.66666666666663</v>
      </c>
      <c r="E11" s="6">
        <v>176</v>
      </c>
      <c r="F11" s="6">
        <v>430</v>
      </c>
      <c r="G11" s="5">
        <v>172</v>
      </c>
      <c r="H11" s="5">
        <v>426</v>
      </c>
      <c r="I11" s="18">
        <v>38</v>
      </c>
      <c r="J11" s="5">
        <v>292</v>
      </c>
      <c r="K11" s="18">
        <v>210</v>
      </c>
      <c r="L11" s="5">
        <v>464</v>
      </c>
      <c r="M11" s="27" t="s">
        <v>107</v>
      </c>
      <c r="N11" s="33">
        <v>1</v>
      </c>
    </row>
    <row r="12" spans="2:15" x14ac:dyDescent="0.3">
      <c r="B12" s="1" t="s">
        <v>62</v>
      </c>
      <c r="C12" s="1">
        <v>3679</v>
      </c>
      <c r="D12" s="20">
        <v>560</v>
      </c>
      <c r="E12" s="6">
        <v>176</v>
      </c>
      <c r="F12" s="6">
        <v>366</v>
      </c>
      <c r="G12" s="5">
        <v>174</v>
      </c>
      <c r="H12" s="5">
        <v>364</v>
      </c>
      <c r="I12" s="18">
        <v>29</v>
      </c>
      <c r="J12" s="5">
        <v>219</v>
      </c>
      <c r="K12" s="18">
        <v>202</v>
      </c>
      <c r="L12" s="5">
        <v>392</v>
      </c>
      <c r="M12" s="27" t="s">
        <v>107</v>
      </c>
      <c r="N12" s="33">
        <v>1</v>
      </c>
    </row>
    <row r="13" spans="2:15" x14ac:dyDescent="0.3">
      <c r="B13" s="1" t="s">
        <v>56</v>
      </c>
      <c r="C13" s="1">
        <v>3073</v>
      </c>
      <c r="D13" s="20">
        <v>512.66666666666663</v>
      </c>
      <c r="E13" s="6">
        <v>56</v>
      </c>
      <c r="F13" s="6">
        <v>230</v>
      </c>
      <c r="G13" s="5">
        <v>49</v>
      </c>
      <c r="H13" s="5">
        <v>223</v>
      </c>
      <c r="I13" s="18">
        <v>26</v>
      </c>
      <c r="J13" s="5">
        <v>200</v>
      </c>
      <c r="K13" s="18">
        <v>75</v>
      </c>
      <c r="L13" s="5">
        <v>249</v>
      </c>
      <c r="M13" s="27" t="s">
        <v>107</v>
      </c>
      <c r="N13" s="33">
        <v>1</v>
      </c>
    </row>
    <row r="14" spans="2:15" x14ac:dyDescent="0.3">
      <c r="B14" s="1" t="s">
        <v>57</v>
      </c>
      <c r="C14" s="1">
        <v>2875</v>
      </c>
      <c r="D14" s="20">
        <v>468</v>
      </c>
      <c r="E14" s="6">
        <v>26</v>
      </c>
      <c r="F14" s="6">
        <v>184</v>
      </c>
      <c r="G14" s="5">
        <v>10</v>
      </c>
      <c r="H14" s="5">
        <v>168</v>
      </c>
      <c r="I14" s="18">
        <v>24</v>
      </c>
      <c r="J14" s="5">
        <v>182</v>
      </c>
      <c r="K14" s="18">
        <v>34</v>
      </c>
      <c r="L14" s="5">
        <v>192</v>
      </c>
      <c r="M14" s="27" t="s">
        <v>107</v>
      </c>
      <c r="N14" s="33">
        <v>1</v>
      </c>
    </row>
    <row r="15" spans="2:15" x14ac:dyDescent="0.3">
      <c r="B15" s="1" t="s">
        <v>54</v>
      </c>
      <c r="C15" s="1">
        <v>2477</v>
      </c>
      <c r="D15" s="20">
        <v>409.33333333333331</v>
      </c>
      <c r="E15" s="6">
        <v>22</v>
      </c>
      <c r="F15" s="6">
        <v>161</v>
      </c>
      <c r="G15" s="5">
        <v>8</v>
      </c>
      <c r="H15" s="5">
        <v>147</v>
      </c>
      <c r="I15" s="18">
        <v>21</v>
      </c>
      <c r="J15" s="5">
        <v>160</v>
      </c>
      <c r="K15" s="18">
        <v>29</v>
      </c>
      <c r="L15" s="5">
        <v>168</v>
      </c>
      <c r="M15" s="27" t="s">
        <v>107</v>
      </c>
      <c r="N15" s="33">
        <v>1</v>
      </c>
    </row>
    <row r="16" spans="2:15" x14ac:dyDescent="0.3">
      <c r="B16" s="1" t="s">
        <v>61</v>
      </c>
      <c r="C16" s="1">
        <v>2433</v>
      </c>
      <c r="D16" s="20">
        <v>397</v>
      </c>
      <c r="E16" s="6">
        <v>77</v>
      </c>
      <c r="F16" s="6">
        <v>211</v>
      </c>
      <c r="G16" s="5">
        <v>75</v>
      </c>
      <c r="H16" s="5">
        <v>209</v>
      </c>
      <c r="I16" s="18">
        <v>20</v>
      </c>
      <c r="J16" s="5">
        <v>154</v>
      </c>
      <c r="K16" s="18">
        <v>95</v>
      </c>
      <c r="L16" s="5">
        <v>229</v>
      </c>
      <c r="M16" s="27" t="s">
        <v>107</v>
      </c>
      <c r="N16" s="33">
        <v>1</v>
      </c>
    </row>
    <row r="17" spans="2:14" x14ac:dyDescent="0.3">
      <c r="B17" s="1" t="s">
        <v>64</v>
      </c>
      <c r="C17" s="1">
        <v>1742</v>
      </c>
      <c r="D17" s="20">
        <v>283</v>
      </c>
      <c r="E17" s="6">
        <v>30</v>
      </c>
      <c r="F17" s="6">
        <v>126</v>
      </c>
      <c r="G17" s="5">
        <v>27</v>
      </c>
      <c r="H17" s="5">
        <v>123</v>
      </c>
      <c r="I17" s="18">
        <v>14</v>
      </c>
      <c r="J17" s="5">
        <v>110</v>
      </c>
      <c r="K17" s="18">
        <v>41</v>
      </c>
      <c r="L17" s="5">
        <v>137</v>
      </c>
      <c r="M17" s="27" t="s">
        <v>107</v>
      </c>
      <c r="N17" s="33">
        <v>1</v>
      </c>
    </row>
    <row r="18" spans="2:14" x14ac:dyDescent="0.3">
      <c r="B18" s="1" t="s">
        <v>65</v>
      </c>
      <c r="C18" s="1">
        <v>1677</v>
      </c>
      <c r="D18" s="20">
        <v>203</v>
      </c>
      <c r="E18" s="6">
        <v>30</v>
      </c>
      <c r="F18" s="6">
        <v>99</v>
      </c>
      <c r="G18" s="5">
        <v>29</v>
      </c>
      <c r="H18" s="5">
        <v>98</v>
      </c>
      <c r="I18" s="18">
        <v>10</v>
      </c>
      <c r="J18" s="5">
        <v>79</v>
      </c>
      <c r="K18" s="18">
        <v>39</v>
      </c>
      <c r="L18" s="5">
        <v>108</v>
      </c>
      <c r="M18" s="27" t="s">
        <v>107</v>
      </c>
      <c r="N18" s="33">
        <v>1</v>
      </c>
    </row>
    <row r="19" spans="2:14" x14ac:dyDescent="0.3">
      <c r="B19" s="1" t="s">
        <v>43</v>
      </c>
      <c r="C19" s="1">
        <v>1026</v>
      </c>
      <c r="D19" s="20">
        <v>191</v>
      </c>
      <c r="E19" s="6">
        <v>79</v>
      </c>
      <c r="F19" s="6">
        <v>144</v>
      </c>
      <c r="G19" s="5">
        <v>79</v>
      </c>
      <c r="H19" s="5">
        <v>144</v>
      </c>
      <c r="I19" s="18">
        <v>10</v>
      </c>
      <c r="J19" s="5">
        <v>75</v>
      </c>
      <c r="K19" s="18">
        <v>88</v>
      </c>
      <c r="L19" s="5">
        <v>153</v>
      </c>
      <c r="M19" s="27" t="s">
        <v>107</v>
      </c>
      <c r="N19" s="33">
        <v>1</v>
      </c>
    </row>
    <row r="20" spans="2:14" x14ac:dyDescent="0.3">
      <c r="B20" s="1" t="s">
        <v>30</v>
      </c>
      <c r="C20" s="1">
        <v>918</v>
      </c>
      <c r="D20" s="20">
        <v>150.66666666666666</v>
      </c>
      <c r="E20" s="6">
        <v>37</v>
      </c>
      <c r="F20" s="6">
        <v>88</v>
      </c>
      <c r="G20" s="5">
        <v>37</v>
      </c>
      <c r="H20" s="5">
        <v>88</v>
      </c>
      <c r="I20" s="18">
        <v>8</v>
      </c>
      <c r="J20" s="5">
        <v>59</v>
      </c>
      <c r="K20" s="18">
        <v>44</v>
      </c>
      <c r="L20" s="5">
        <v>95</v>
      </c>
      <c r="M20" s="27" t="s">
        <v>111</v>
      </c>
      <c r="N20" s="33">
        <v>1</v>
      </c>
    </row>
    <row r="21" spans="2:14" x14ac:dyDescent="0.3">
      <c r="B21" s="1" t="s">
        <v>33</v>
      </c>
      <c r="C21" s="1">
        <v>756</v>
      </c>
      <c r="D21" s="20">
        <v>143.33333333333334</v>
      </c>
      <c r="E21" s="6">
        <v>60</v>
      </c>
      <c r="F21" s="6">
        <v>109</v>
      </c>
      <c r="G21" s="5">
        <v>59</v>
      </c>
      <c r="H21" s="5">
        <v>108</v>
      </c>
      <c r="I21" s="18">
        <v>7</v>
      </c>
      <c r="J21" s="5">
        <v>56</v>
      </c>
      <c r="K21" s="18">
        <v>66</v>
      </c>
      <c r="L21" s="5">
        <v>115</v>
      </c>
      <c r="M21" s="27" t="s">
        <v>107</v>
      </c>
      <c r="N21" s="33">
        <v>1</v>
      </c>
    </row>
    <row r="22" spans="2:14" x14ac:dyDescent="0.3">
      <c r="B22" s="1" t="s">
        <v>41</v>
      </c>
      <c r="C22" s="1">
        <v>601</v>
      </c>
      <c r="D22" s="20">
        <v>127</v>
      </c>
      <c r="E22" s="6">
        <v>18</v>
      </c>
      <c r="F22" s="6">
        <v>61</v>
      </c>
      <c r="G22" s="5">
        <v>17</v>
      </c>
      <c r="H22" s="5">
        <v>60</v>
      </c>
      <c r="I22" s="18">
        <v>6</v>
      </c>
      <c r="J22" s="5">
        <v>49</v>
      </c>
      <c r="K22" s="18">
        <v>23</v>
      </c>
      <c r="L22" s="5">
        <v>66</v>
      </c>
      <c r="M22" s="27" t="s">
        <v>107</v>
      </c>
      <c r="N22" s="33">
        <v>1</v>
      </c>
    </row>
    <row r="23" spans="2:14" x14ac:dyDescent="0.3">
      <c r="B23" s="1" t="s">
        <v>42</v>
      </c>
      <c r="C23" s="1">
        <v>468</v>
      </c>
      <c r="D23" s="20">
        <v>124</v>
      </c>
      <c r="E23" s="6">
        <v>50</v>
      </c>
      <c r="F23" s="6">
        <v>92</v>
      </c>
      <c r="G23" s="5">
        <v>50</v>
      </c>
      <c r="H23" s="5">
        <v>92</v>
      </c>
      <c r="I23" s="18">
        <v>6</v>
      </c>
      <c r="J23" s="5">
        <v>48</v>
      </c>
      <c r="K23" s="18">
        <v>56</v>
      </c>
      <c r="L23" s="5">
        <v>98</v>
      </c>
      <c r="M23" s="27" t="s">
        <v>107</v>
      </c>
      <c r="N23" s="33">
        <v>1</v>
      </c>
    </row>
    <row r="24" spans="2:14" x14ac:dyDescent="0.3">
      <c r="B24" s="1" t="s">
        <v>47</v>
      </c>
      <c r="C24" s="1">
        <v>506</v>
      </c>
      <c r="D24" s="20">
        <v>121.33333333333333</v>
      </c>
      <c r="E24" s="6">
        <v>51</v>
      </c>
      <c r="F24" s="6">
        <v>92</v>
      </c>
      <c r="G24" s="5">
        <v>51</v>
      </c>
      <c r="H24" s="5">
        <v>92</v>
      </c>
      <c r="I24" s="18">
        <v>6</v>
      </c>
      <c r="J24" s="5">
        <v>47</v>
      </c>
      <c r="K24" s="18">
        <v>57</v>
      </c>
      <c r="L24" s="5">
        <v>98</v>
      </c>
      <c r="M24" s="27" t="s">
        <v>107</v>
      </c>
      <c r="N24" s="33">
        <v>1</v>
      </c>
    </row>
    <row r="25" spans="2:14" x14ac:dyDescent="0.3">
      <c r="B25" s="1" t="s">
        <v>58</v>
      </c>
      <c r="C25" s="1">
        <v>701</v>
      </c>
      <c r="D25" s="20">
        <v>120.33333333333333</v>
      </c>
      <c r="E25" s="6">
        <v>8</v>
      </c>
      <c r="F25" s="6">
        <v>49</v>
      </c>
      <c r="G25" s="5">
        <v>5</v>
      </c>
      <c r="H25" s="5">
        <v>46</v>
      </c>
      <c r="I25" s="18">
        <v>6</v>
      </c>
      <c r="J25" s="5">
        <v>47</v>
      </c>
      <c r="K25" s="18">
        <v>12</v>
      </c>
      <c r="L25" s="5">
        <v>53</v>
      </c>
      <c r="M25" s="27" t="s">
        <v>107</v>
      </c>
      <c r="N25" s="33">
        <v>1</v>
      </c>
    </row>
    <row r="26" spans="2:14" x14ac:dyDescent="0.3">
      <c r="B26" s="1" t="s">
        <v>52</v>
      </c>
      <c r="C26" s="1">
        <v>624</v>
      </c>
      <c r="D26" s="20">
        <v>118.66666666666667</v>
      </c>
      <c r="E26" s="6">
        <v>14</v>
      </c>
      <c r="F26" s="6">
        <v>54</v>
      </c>
      <c r="G26" s="5">
        <v>13</v>
      </c>
      <c r="H26" s="5">
        <v>53</v>
      </c>
      <c r="I26" s="18">
        <v>6</v>
      </c>
      <c r="J26" s="5">
        <v>46</v>
      </c>
      <c r="K26" s="18">
        <v>19</v>
      </c>
      <c r="L26" s="5">
        <v>59</v>
      </c>
      <c r="M26" s="27" t="s">
        <v>107</v>
      </c>
      <c r="N26" s="33">
        <v>1</v>
      </c>
    </row>
    <row r="27" spans="2:14" x14ac:dyDescent="0.3">
      <c r="B27" s="1" t="s">
        <v>46</v>
      </c>
      <c r="C27" s="1">
        <v>522</v>
      </c>
      <c r="D27" s="20">
        <v>115.33333333333333</v>
      </c>
      <c r="E27" s="6">
        <v>15</v>
      </c>
      <c r="F27" s="6">
        <v>54</v>
      </c>
      <c r="G27" s="5">
        <v>14</v>
      </c>
      <c r="H27" s="5">
        <v>53</v>
      </c>
      <c r="I27" s="18">
        <v>6</v>
      </c>
      <c r="J27" s="5">
        <v>45</v>
      </c>
      <c r="K27" s="18">
        <v>20</v>
      </c>
      <c r="L27" s="5">
        <v>59</v>
      </c>
      <c r="M27" s="27" t="s">
        <v>107</v>
      </c>
      <c r="N27" s="33">
        <v>1</v>
      </c>
    </row>
    <row r="28" spans="2:14" x14ac:dyDescent="0.3">
      <c r="B28" s="1" t="s">
        <v>44</v>
      </c>
      <c r="C28" s="1">
        <v>583</v>
      </c>
      <c r="D28" s="20">
        <v>98</v>
      </c>
      <c r="E28" s="6">
        <v>26</v>
      </c>
      <c r="F28" s="6">
        <v>59</v>
      </c>
      <c r="G28" s="5">
        <v>26</v>
      </c>
      <c r="H28" s="5">
        <v>59</v>
      </c>
      <c r="I28" s="18">
        <v>5</v>
      </c>
      <c r="J28" s="5">
        <v>38</v>
      </c>
      <c r="K28" s="18">
        <v>31</v>
      </c>
      <c r="L28" s="5">
        <v>64</v>
      </c>
      <c r="M28" s="27" t="s">
        <v>107</v>
      </c>
      <c r="N28" s="33">
        <v>1</v>
      </c>
    </row>
    <row r="29" spans="2:14" x14ac:dyDescent="0.3">
      <c r="B29" s="1" t="s">
        <v>60</v>
      </c>
      <c r="C29" s="1">
        <v>453</v>
      </c>
      <c r="D29" s="20">
        <v>84</v>
      </c>
      <c r="E29" s="6">
        <v>24</v>
      </c>
      <c r="F29" s="6">
        <v>52</v>
      </c>
      <c r="G29" s="5">
        <v>23</v>
      </c>
      <c r="H29" s="5">
        <v>51</v>
      </c>
      <c r="I29" s="18">
        <v>4</v>
      </c>
      <c r="J29" s="5">
        <v>32</v>
      </c>
      <c r="K29" s="18">
        <v>28</v>
      </c>
      <c r="L29" s="5">
        <v>56</v>
      </c>
      <c r="M29" s="27" t="s">
        <v>107</v>
      </c>
      <c r="N29" s="33">
        <v>1</v>
      </c>
    </row>
    <row r="30" spans="2:14" x14ac:dyDescent="0.3">
      <c r="B30" s="1" t="s">
        <v>31</v>
      </c>
      <c r="C30" s="1">
        <v>476</v>
      </c>
      <c r="D30" s="20">
        <v>78.666666666666671</v>
      </c>
      <c r="E30" s="6">
        <v>7</v>
      </c>
      <c r="F30" s="6">
        <v>34</v>
      </c>
      <c r="G30" s="5">
        <v>5</v>
      </c>
      <c r="H30" s="5">
        <v>32</v>
      </c>
      <c r="I30" s="18">
        <v>4</v>
      </c>
      <c r="J30" s="5">
        <v>31</v>
      </c>
      <c r="K30" s="18">
        <v>10</v>
      </c>
      <c r="L30" s="5">
        <v>37</v>
      </c>
      <c r="M30" s="27" t="s">
        <v>107</v>
      </c>
      <c r="N30" s="33">
        <v>1</v>
      </c>
    </row>
    <row r="31" spans="2:14" x14ac:dyDescent="0.3">
      <c r="B31" s="1" t="s">
        <v>34</v>
      </c>
      <c r="C31" s="1">
        <v>321</v>
      </c>
      <c r="D31" s="20">
        <v>61.666666666666664</v>
      </c>
      <c r="E31" s="6">
        <v>23</v>
      </c>
      <c r="F31" s="6">
        <v>44</v>
      </c>
      <c r="G31" s="5">
        <v>23</v>
      </c>
      <c r="H31" s="5">
        <v>44</v>
      </c>
      <c r="I31" s="18">
        <v>3</v>
      </c>
      <c r="J31" s="5">
        <v>24</v>
      </c>
      <c r="K31" s="18">
        <v>26</v>
      </c>
      <c r="L31" s="5">
        <v>47</v>
      </c>
      <c r="M31" s="27" t="s">
        <v>107</v>
      </c>
      <c r="N31" s="33">
        <v>1</v>
      </c>
    </row>
    <row r="32" spans="2:14" x14ac:dyDescent="0.3">
      <c r="B32" s="1" t="s">
        <v>50</v>
      </c>
      <c r="C32" s="1">
        <v>340</v>
      </c>
      <c r="D32" s="20">
        <v>51</v>
      </c>
      <c r="E32" s="6">
        <v>20</v>
      </c>
      <c r="F32" s="6">
        <v>37</v>
      </c>
      <c r="G32" s="5">
        <v>20</v>
      </c>
      <c r="H32" s="5">
        <v>37</v>
      </c>
      <c r="I32" s="18">
        <v>3</v>
      </c>
      <c r="J32" s="5">
        <v>20</v>
      </c>
      <c r="K32" s="18">
        <v>22</v>
      </c>
      <c r="L32" s="5">
        <v>39</v>
      </c>
      <c r="M32" s="27" t="s">
        <v>107</v>
      </c>
      <c r="N32" s="33">
        <v>1</v>
      </c>
    </row>
    <row r="33" spans="2:14" x14ac:dyDescent="0.3">
      <c r="B33" s="1" t="s">
        <v>38</v>
      </c>
      <c r="C33" s="1">
        <v>223</v>
      </c>
      <c r="D33" s="20">
        <v>44.333333333333336</v>
      </c>
      <c r="E33" s="6">
        <v>42</v>
      </c>
      <c r="F33" s="6">
        <v>57</v>
      </c>
      <c r="G33" s="5">
        <v>42</v>
      </c>
      <c r="H33" s="5">
        <v>57</v>
      </c>
      <c r="I33" s="18">
        <v>2</v>
      </c>
      <c r="J33" s="5">
        <v>17</v>
      </c>
      <c r="K33" s="18">
        <v>44</v>
      </c>
      <c r="L33" s="5">
        <v>59</v>
      </c>
      <c r="M33" s="27" t="s">
        <v>107</v>
      </c>
      <c r="N33" s="33">
        <v>1</v>
      </c>
    </row>
    <row r="34" spans="2:14" x14ac:dyDescent="0.3">
      <c r="B34" s="1" t="s">
        <v>55</v>
      </c>
      <c r="C34" s="1">
        <v>350</v>
      </c>
      <c r="D34" s="20">
        <v>42.333333333333336</v>
      </c>
      <c r="E34" s="6">
        <v>3</v>
      </c>
      <c r="F34" s="6">
        <v>17</v>
      </c>
      <c r="G34" s="5">
        <v>2</v>
      </c>
      <c r="H34" s="5">
        <v>16</v>
      </c>
      <c r="I34" s="18">
        <v>2</v>
      </c>
      <c r="J34" s="5">
        <v>16</v>
      </c>
      <c r="K34" s="18">
        <v>4</v>
      </c>
      <c r="L34" s="5">
        <v>18</v>
      </c>
      <c r="M34" s="27" t="s">
        <v>107</v>
      </c>
      <c r="N34" s="33">
        <v>1</v>
      </c>
    </row>
    <row r="35" spans="2:14" x14ac:dyDescent="0.3">
      <c r="B35" s="1" t="s">
        <v>63</v>
      </c>
      <c r="C35" s="1">
        <v>352</v>
      </c>
      <c r="D35" s="20">
        <v>42.333333333333336</v>
      </c>
      <c r="E35" s="6">
        <v>21</v>
      </c>
      <c r="F35" s="6">
        <v>35</v>
      </c>
      <c r="G35" s="5">
        <v>21</v>
      </c>
      <c r="H35" s="5">
        <v>35</v>
      </c>
      <c r="I35" s="18">
        <v>2</v>
      </c>
      <c r="J35" s="5">
        <v>16</v>
      </c>
      <c r="K35" s="18">
        <v>23</v>
      </c>
      <c r="L35" s="5">
        <v>37</v>
      </c>
      <c r="M35" s="27" t="s">
        <v>107</v>
      </c>
      <c r="N35" s="33">
        <v>1</v>
      </c>
    </row>
    <row r="36" spans="2:14" x14ac:dyDescent="0.3">
      <c r="B36" s="1" t="s">
        <v>35</v>
      </c>
      <c r="C36" s="1">
        <v>106</v>
      </c>
      <c r="D36" s="20">
        <v>22</v>
      </c>
      <c r="E36" s="6">
        <v>25</v>
      </c>
      <c r="F36" s="6">
        <v>32</v>
      </c>
      <c r="G36" s="5">
        <v>25</v>
      </c>
      <c r="H36" s="5">
        <v>32</v>
      </c>
      <c r="I36" s="18">
        <v>1</v>
      </c>
      <c r="J36" s="5">
        <v>8</v>
      </c>
      <c r="K36" s="18">
        <v>26</v>
      </c>
      <c r="L36" s="5">
        <v>33</v>
      </c>
      <c r="M36" s="27" t="s">
        <v>107</v>
      </c>
      <c r="N36" s="33">
        <v>1</v>
      </c>
    </row>
    <row r="37" spans="2:14" x14ac:dyDescent="0.3">
      <c r="B37" s="1" t="s">
        <v>53</v>
      </c>
      <c r="C37" s="1">
        <v>159</v>
      </c>
      <c r="D37" s="20">
        <v>20.666666666666668</v>
      </c>
      <c r="E37" s="6">
        <v>3</v>
      </c>
      <c r="F37" s="6">
        <v>10</v>
      </c>
      <c r="G37" s="5">
        <v>3</v>
      </c>
      <c r="H37" s="5">
        <v>10</v>
      </c>
      <c r="I37" s="18">
        <v>1</v>
      </c>
      <c r="J37" s="5">
        <v>8</v>
      </c>
      <c r="K37" s="18">
        <v>4</v>
      </c>
      <c r="L37" s="5">
        <v>11</v>
      </c>
      <c r="M37" s="27" t="s">
        <v>107</v>
      </c>
      <c r="N37" s="33">
        <v>1</v>
      </c>
    </row>
    <row r="38" spans="2:14" x14ac:dyDescent="0.3">
      <c r="B38" s="1" t="s">
        <v>39</v>
      </c>
      <c r="C38" s="1">
        <v>64</v>
      </c>
      <c r="D38" s="20">
        <v>8</v>
      </c>
      <c r="E38" s="6">
        <v>9</v>
      </c>
      <c r="F38" s="6">
        <v>12</v>
      </c>
      <c r="G38" s="5">
        <v>9</v>
      </c>
      <c r="H38" s="5">
        <v>12</v>
      </c>
      <c r="I38" s="18">
        <v>0</v>
      </c>
      <c r="J38" s="5">
        <v>3</v>
      </c>
      <c r="K38" s="18">
        <v>9</v>
      </c>
      <c r="L38" s="5">
        <v>12</v>
      </c>
      <c r="M38" s="27" t="s">
        <v>107</v>
      </c>
      <c r="N38" s="33">
        <v>1</v>
      </c>
    </row>
    <row r="39" spans="2:14" x14ac:dyDescent="0.3">
      <c r="B39" s="1" t="s">
        <v>36</v>
      </c>
      <c r="C39" s="1">
        <v>46</v>
      </c>
      <c r="D39" s="20">
        <v>5.333333333333333</v>
      </c>
      <c r="E39" s="6">
        <v>6</v>
      </c>
      <c r="F39" s="6">
        <v>8</v>
      </c>
      <c r="G39" s="5">
        <v>6</v>
      </c>
      <c r="H39" s="5">
        <v>8</v>
      </c>
      <c r="I39" s="18">
        <v>0</v>
      </c>
      <c r="J39" s="5">
        <v>2</v>
      </c>
      <c r="K39" s="18">
        <v>6</v>
      </c>
      <c r="L39" s="5">
        <v>8</v>
      </c>
      <c r="M39" s="27" t="s">
        <v>107</v>
      </c>
      <c r="N39" s="33">
        <v>1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5436D-C8CF-44FA-B0BF-16EA1231A2ED}">
  <dimension ref="B2:P15"/>
  <sheetViews>
    <sheetView showGridLines="0" tabSelected="1" zoomScaleNormal="100" workbookViewId="0">
      <pane xSplit="2" ySplit="3" topLeftCell="E4" activePane="bottomRight" state="frozen"/>
      <selection pane="topRight" activeCell="B1" sqref="B1"/>
      <selection pane="bottomLeft" activeCell="A4" sqref="A4"/>
      <selection pane="bottomRight" activeCell="B4" sqref="B4:B15"/>
    </sheetView>
  </sheetViews>
  <sheetFormatPr defaultRowHeight="14.4" x14ac:dyDescent="0.3"/>
  <cols>
    <col min="2" max="2" width="21.88671875" bestFit="1" customWidth="1"/>
    <col min="3" max="3" width="9.88671875" bestFit="1" customWidth="1"/>
    <col min="4" max="4" width="12" style="14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109375" bestFit="1" customWidth="1"/>
    <col min="14" max="14" width="7.6640625" bestFit="1" customWidth="1"/>
    <col min="15" max="15" width="12.33203125" customWidth="1"/>
    <col min="16" max="16" width="54.21875" bestFit="1" customWidth="1"/>
  </cols>
  <sheetData>
    <row r="2" spans="2:16" s="3" customFormat="1" ht="43.2" x14ac:dyDescent="0.3"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  <c r="N2" s="4"/>
    </row>
    <row r="3" spans="2:16" s="9" customFormat="1" ht="31.2" x14ac:dyDescent="0.3">
      <c r="B3" s="7" t="s">
        <v>12</v>
      </c>
      <c r="C3" s="7" t="s">
        <v>13</v>
      </c>
      <c r="D3" s="7" t="s">
        <v>14</v>
      </c>
      <c r="E3" s="10" t="s">
        <v>11</v>
      </c>
      <c r="F3" s="24" t="s">
        <v>100</v>
      </c>
      <c r="G3" s="10" t="s">
        <v>8</v>
      </c>
      <c r="H3" s="24" t="s">
        <v>100</v>
      </c>
      <c r="I3" s="10" t="s">
        <v>9</v>
      </c>
      <c r="J3" s="24" t="s">
        <v>100</v>
      </c>
      <c r="K3" s="25" t="s">
        <v>10</v>
      </c>
      <c r="L3" s="15" t="s">
        <v>100</v>
      </c>
      <c r="M3" s="10" t="s">
        <v>106</v>
      </c>
      <c r="N3" s="10" t="s">
        <v>113</v>
      </c>
    </row>
    <row r="4" spans="2:16" x14ac:dyDescent="0.3">
      <c r="B4" s="1" t="s">
        <v>76</v>
      </c>
      <c r="C4" s="1">
        <v>4561</v>
      </c>
      <c r="D4" s="16">
        <v>617</v>
      </c>
      <c r="E4" s="21">
        <v>76</v>
      </c>
      <c r="F4" s="12">
        <v>285</v>
      </c>
      <c r="G4" s="22">
        <v>69</v>
      </c>
      <c r="H4" s="12">
        <v>278</v>
      </c>
      <c r="I4" s="23">
        <v>31</v>
      </c>
      <c r="J4" s="26">
        <v>240</v>
      </c>
      <c r="K4" s="23">
        <v>101</v>
      </c>
      <c r="L4" s="34">
        <v>310</v>
      </c>
      <c r="M4" s="35" t="s">
        <v>107</v>
      </c>
      <c r="N4" s="33">
        <v>1</v>
      </c>
      <c r="P4" t="s">
        <v>20</v>
      </c>
    </row>
    <row r="5" spans="2:16" x14ac:dyDescent="0.3">
      <c r="B5" s="1" t="s">
        <v>77</v>
      </c>
      <c r="C5" s="1">
        <v>1504</v>
      </c>
      <c r="D5" s="20">
        <v>258.66666666666669</v>
      </c>
      <c r="E5" s="21">
        <v>56</v>
      </c>
      <c r="F5" s="12">
        <v>144</v>
      </c>
      <c r="G5" s="22">
        <v>54</v>
      </c>
      <c r="H5" s="12">
        <v>142</v>
      </c>
      <c r="I5" s="23">
        <v>13</v>
      </c>
      <c r="J5" s="26">
        <v>101</v>
      </c>
      <c r="K5" s="23">
        <v>67</v>
      </c>
      <c r="L5" s="34">
        <v>155</v>
      </c>
      <c r="M5" s="35" t="s">
        <v>107</v>
      </c>
      <c r="N5" s="33">
        <v>1</v>
      </c>
      <c r="P5" t="s">
        <v>3</v>
      </c>
    </row>
    <row r="6" spans="2:16" x14ac:dyDescent="0.3">
      <c r="B6" s="1" t="s">
        <v>78</v>
      </c>
      <c r="C6" s="1">
        <v>822</v>
      </c>
      <c r="D6" s="16">
        <v>126</v>
      </c>
      <c r="E6" s="21">
        <v>29</v>
      </c>
      <c r="F6" s="12">
        <v>72</v>
      </c>
      <c r="G6" s="22">
        <v>29</v>
      </c>
      <c r="H6" s="12">
        <v>72</v>
      </c>
      <c r="I6" s="23">
        <v>6</v>
      </c>
      <c r="J6" s="26">
        <v>49</v>
      </c>
      <c r="K6" s="23">
        <v>35</v>
      </c>
      <c r="L6" s="34">
        <v>78</v>
      </c>
      <c r="M6" s="35" t="s">
        <v>115</v>
      </c>
      <c r="N6" s="33">
        <v>1</v>
      </c>
      <c r="P6" t="s">
        <v>2</v>
      </c>
    </row>
    <row r="7" spans="2:16" x14ac:dyDescent="0.3">
      <c r="B7" s="1" t="s">
        <v>79</v>
      </c>
      <c r="C7" s="1">
        <v>460</v>
      </c>
      <c r="D7" s="20">
        <v>75.666666666666671</v>
      </c>
      <c r="E7" s="21">
        <v>14</v>
      </c>
      <c r="F7" s="12">
        <v>40</v>
      </c>
      <c r="G7" s="22">
        <v>14</v>
      </c>
      <c r="H7" s="12">
        <v>40</v>
      </c>
      <c r="I7" s="23">
        <v>4</v>
      </c>
      <c r="J7" s="26">
        <v>30</v>
      </c>
      <c r="K7" s="23">
        <v>18</v>
      </c>
      <c r="L7" s="34">
        <v>44</v>
      </c>
      <c r="M7" s="35" t="s">
        <v>115</v>
      </c>
      <c r="N7" s="33">
        <v>1</v>
      </c>
      <c r="P7" t="s">
        <v>1</v>
      </c>
    </row>
    <row r="8" spans="2:16" x14ac:dyDescent="0.3">
      <c r="B8" s="1" t="s">
        <v>80</v>
      </c>
      <c r="C8" s="1">
        <v>1024</v>
      </c>
      <c r="D8" s="16">
        <v>151</v>
      </c>
      <c r="E8" s="21">
        <v>13</v>
      </c>
      <c r="F8" s="12">
        <v>64</v>
      </c>
      <c r="G8" s="22">
        <v>11</v>
      </c>
      <c r="H8" s="12">
        <v>62</v>
      </c>
      <c r="I8" s="23">
        <v>8</v>
      </c>
      <c r="J8" s="26">
        <v>59</v>
      </c>
      <c r="K8" s="23">
        <v>18</v>
      </c>
      <c r="L8" s="34">
        <v>69</v>
      </c>
      <c r="M8" s="35" t="s">
        <v>107</v>
      </c>
      <c r="N8" s="33">
        <v>1</v>
      </c>
      <c r="P8" t="s">
        <v>0</v>
      </c>
    </row>
    <row r="9" spans="2:16" x14ac:dyDescent="0.3">
      <c r="B9" s="1" t="s">
        <v>81</v>
      </c>
      <c r="C9" s="1">
        <v>1795</v>
      </c>
      <c r="D9" s="16">
        <v>270</v>
      </c>
      <c r="E9" s="21">
        <v>62</v>
      </c>
      <c r="F9" s="12">
        <v>153</v>
      </c>
      <c r="G9" s="22">
        <v>61</v>
      </c>
      <c r="H9" s="12">
        <v>152</v>
      </c>
      <c r="I9" s="23">
        <v>14</v>
      </c>
      <c r="J9" s="26">
        <v>105</v>
      </c>
      <c r="K9" s="23">
        <v>75</v>
      </c>
      <c r="L9" s="34">
        <v>166</v>
      </c>
      <c r="M9" s="35" t="s">
        <v>116</v>
      </c>
      <c r="N9" s="33">
        <v>1</v>
      </c>
      <c r="P9" t="s">
        <v>99</v>
      </c>
    </row>
    <row r="10" spans="2:16" x14ac:dyDescent="0.3">
      <c r="B10" s="1" t="s">
        <v>82</v>
      </c>
      <c r="C10" s="1">
        <v>2860</v>
      </c>
      <c r="D10" s="16">
        <v>572</v>
      </c>
      <c r="E10" s="21">
        <v>198</v>
      </c>
      <c r="F10" s="12">
        <v>392</v>
      </c>
      <c r="G10" s="22">
        <v>195</v>
      </c>
      <c r="H10" s="12">
        <v>389</v>
      </c>
      <c r="I10" s="23">
        <v>29</v>
      </c>
      <c r="J10" s="26">
        <v>223</v>
      </c>
      <c r="K10" s="23">
        <v>225</v>
      </c>
      <c r="L10" s="34">
        <v>419</v>
      </c>
      <c r="M10" s="35" t="s">
        <v>107</v>
      </c>
      <c r="N10" s="33">
        <v>1</v>
      </c>
    </row>
    <row r="11" spans="2:16" x14ac:dyDescent="0.3">
      <c r="B11" s="1" t="s">
        <v>83</v>
      </c>
      <c r="C11" s="1">
        <v>1380</v>
      </c>
      <c r="D11" s="16">
        <v>347</v>
      </c>
      <c r="E11" s="21">
        <v>44</v>
      </c>
      <c r="F11" s="12">
        <v>161</v>
      </c>
      <c r="G11" s="22">
        <v>41</v>
      </c>
      <c r="H11" s="12">
        <v>158</v>
      </c>
      <c r="I11" s="23">
        <v>18</v>
      </c>
      <c r="J11" s="26">
        <v>135</v>
      </c>
      <c r="K11" s="23">
        <v>58</v>
      </c>
      <c r="L11" s="34">
        <v>175</v>
      </c>
      <c r="M11" s="35" t="s">
        <v>107</v>
      </c>
      <c r="N11" s="33">
        <v>1</v>
      </c>
    </row>
    <row r="12" spans="2:16" x14ac:dyDescent="0.3">
      <c r="B12" s="1" t="s">
        <v>84</v>
      </c>
      <c r="C12" s="1">
        <v>1175</v>
      </c>
      <c r="D12" s="16">
        <v>252</v>
      </c>
      <c r="E12" s="21">
        <v>35</v>
      </c>
      <c r="F12" s="12">
        <v>120</v>
      </c>
      <c r="G12" s="22">
        <v>33</v>
      </c>
      <c r="H12" s="12">
        <v>118</v>
      </c>
      <c r="I12" s="23">
        <v>13</v>
      </c>
      <c r="J12" s="26">
        <v>98</v>
      </c>
      <c r="K12" s="23">
        <v>46</v>
      </c>
      <c r="L12" s="34">
        <v>131</v>
      </c>
      <c r="M12" s="35" t="s">
        <v>107</v>
      </c>
      <c r="N12" s="33">
        <v>1</v>
      </c>
    </row>
    <row r="13" spans="2:16" x14ac:dyDescent="0.3">
      <c r="B13" s="1" t="s">
        <v>85</v>
      </c>
      <c r="C13" s="1">
        <v>906</v>
      </c>
      <c r="D13" s="16">
        <v>133</v>
      </c>
      <c r="E13" s="21">
        <v>81</v>
      </c>
      <c r="F13" s="12">
        <v>126</v>
      </c>
      <c r="G13" s="22">
        <v>81</v>
      </c>
      <c r="H13" s="12">
        <v>126</v>
      </c>
      <c r="I13" s="23">
        <v>7</v>
      </c>
      <c r="J13" s="26">
        <v>52</v>
      </c>
      <c r="K13" s="23">
        <v>87</v>
      </c>
      <c r="L13" s="34">
        <v>132</v>
      </c>
      <c r="M13" s="35" t="s">
        <v>107</v>
      </c>
      <c r="N13" s="33">
        <v>1</v>
      </c>
    </row>
    <row r="14" spans="2:16" x14ac:dyDescent="0.3">
      <c r="B14" s="1" t="s">
        <v>86</v>
      </c>
      <c r="C14" s="1">
        <v>1450</v>
      </c>
      <c r="D14" s="16">
        <v>266</v>
      </c>
      <c r="E14" s="21">
        <v>83</v>
      </c>
      <c r="F14" s="12">
        <v>173</v>
      </c>
      <c r="G14" s="22">
        <v>82</v>
      </c>
      <c r="H14" s="12">
        <v>172</v>
      </c>
      <c r="I14" s="23">
        <v>14</v>
      </c>
      <c r="J14" s="26">
        <v>104</v>
      </c>
      <c r="K14" s="23">
        <v>95</v>
      </c>
      <c r="L14" s="34">
        <v>185</v>
      </c>
      <c r="M14" s="35" t="s">
        <v>107</v>
      </c>
      <c r="N14" s="33">
        <v>1</v>
      </c>
    </row>
    <row r="15" spans="2:16" x14ac:dyDescent="0.3">
      <c r="B15" s="1" t="s">
        <v>87</v>
      </c>
      <c r="C15" s="1">
        <v>750</v>
      </c>
      <c r="D15" s="16">
        <v>137</v>
      </c>
      <c r="E15" s="21">
        <v>83</v>
      </c>
      <c r="F15" s="12">
        <v>129</v>
      </c>
      <c r="G15" s="22">
        <v>82</v>
      </c>
      <c r="H15" s="12">
        <v>128</v>
      </c>
      <c r="I15" s="23">
        <v>7</v>
      </c>
      <c r="J15" s="26">
        <v>53</v>
      </c>
      <c r="K15" s="23">
        <v>89</v>
      </c>
      <c r="L15" s="34">
        <v>135</v>
      </c>
      <c r="M15" s="35" t="s">
        <v>111</v>
      </c>
      <c r="N15" s="33">
        <v>1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C3F56-C924-4947-BFC9-47540CBBCEB1}">
  <dimension ref="B2:O9"/>
  <sheetViews>
    <sheetView showGridLines="0" zoomScaleNormal="100" workbookViewId="0">
      <pane xSplit="2" ySplit="3" topLeftCell="C4" activePane="bottomRight" state="frozen"/>
      <selection pane="topRight" activeCell="B1" sqref="B1"/>
      <selection pane="bottomLeft" activeCell="A4" sqref="A4"/>
      <selection pane="bottomRight" activeCell="F14" sqref="F14"/>
    </sheetView>
  </sheetViews>
  <sheetFormatPr defaultRowHeight="14.4" x14ac:dyDescent="0.3"/>
  <cols>
    <col min="2" max="2" width="20.5546875" bestFit="1" customWidth="1"/>
    <col min="3" max="3" width="9.88671875" bestFit="1" customWidth="1"/>
    <col min="4" max="4" width="12" bestFit="1" customWidth="1"/>
    <col min="5" max="5" width="25.21875" bestFit="1" customWidth="1"/>
    <col min="6" max="6" width="10.44140625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4" width="12.5546875" customWidth="1"/>
    <col min="15" max="15" width="54.21875" bestFit="1" customWidth="1"/>
  </cols>
  <sheetData>
    <row r="2" spans="2:15" s="3" customFormat="1" ht="43.2" x14ac:dyDescent="0.3"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  <c r="N2" s="4"/>
    </row>
    <row r="3" spans="2:15" s="9" customFormat="1" ht="31.2" x14ac:dyDescent="0.3">
      <c r="B3" s="7" t="s">
        <v>12</v>
      </c>
      <c r="C3" s="7" t="s">
        <v>13</v>
      </c>
      <c r="D3" s="7" t="s">
        <v>14</v>
      </c>
      <c r="E3" s="10" t="s">
        <v>11</v>
      </c>
      <c r="F3" s="10" t="s">
        <v>100</v>
      </c>
      <c r="G3" s="19" t="s">
        <v>8</v>
      </c>
      <c r="H3" s="10" t="s">
        <v>100</v>
      </c>
      <c r="I3" s="19" t="s">
        <v>9</v>
      </c>
      <c r="J3" s="10" t="s">
        <v>100</v>
      </c>
      <c r="K3" s="19" t="s">
        <v>10</v>
      </c>
      <c r="L3" s="10" t="s">
        <v>100</v>
      </c>
      <c r="M3" s="10" t="s">
        <v>106</v>
      </c>
      <c r="N3" s="10" t="s">
        <v>113</v>
      </c>
    </row>
    <row r="4" spans="2:15" x14ac:dyDescent="0.3">
      <c r="B4" s="1" t="s">
        <v>88</v>
      </c>
      <c r="C4" s="1">
        <v>2556</v>
      </c>
      <c r="D4" s="2">
        <v>366</v>
      </c>
      <c r="E4" s="6">
        <v>46</v>
      </c>
      <c r="F4" s="6">
        <v>170</v>
      </c>
      <c r="G4" s="18">
        <v>43</v>
      </c>
      <c r="H4" s="5">
        <v>167</v>
      </c>
      <c r="I4" s="18">
        <v>19</v>
      </c>
      <c r="J4" s="5">
        <v>143</v>
      </c>
      <c r="K4" s="18">
        <v>61</v>
      </c>
      <c r="L4" s="5">
        <v>185</v>
      </c>
      <c r="M4" s="27" t="s">
        <v>107</v>
      </c>
      <c r="N4" s="30">
        <v>1</v>
      </c>
      <c r="O4" t="s">
        <v>20</v>
      </c>
    </row>
    <row r="5" spans="2:15" x14ac:dyDescent="0.3">
      <c r="B5" s="1" t="s">
        <v>89</v>
      </c>
      <c r="C5" s="1">
        <v>2233</v>
      </c>
      <c r="D5" s="2">
        <v>370</v>
      </c>
      <c r="E5" s="6">
        <v>65</v>
      </c>
      <c r="F5" s="6">
        <v>190</v>
      </c>
      <c r="G5" s="18">
        <v>62</v>
      </c>
      <c r="H5" s="5">
        <v>187</v>
      </c>
      <c r="I5" s="18">
        <v>19</v>
      </c>
      <c r="J5" s="5">
        <v>144</v>
      </c>
      <c r="K5" s="18">
        <v>81</v>
      </c>
      <c r="L5" s="5">
        <v>206</v>
      </c>
      <c r="M5" s="27" t="s">
        <v>107</v>
      </c>
      <c r="N5" s="30">
        <v>1</v>
      </c>
      <c r="O5" t="s">
        <v>3</v>
      </c>
    </row>
    <row r="6" spans="2:15" x14ac:dyDescent="0.3">
      <c r="B6" s="1" t="s">
        <v>90</v>
      </c>
      <c r="C6" s="1">
        <v>2096</v>
      </c>
      <c r="D6" s="11">
        <v>366.33333333333331</v>
      </c>
      <c r="E6" s="6">
        <v>102</v>
      </c>
      <c r="F6" s="6">
        <v>226</v>
      </c>
      <c r="G6" s="18">
        <v>100</v>
      </c>
      <c r="H6" s="5">
        <v>224</v>
      </c>
      <c r="I6" s="18">
        <v>19</v>
      </c>
      <c r="J6" s="5">
        <v>143</v>
      </c>
      <c r="K6" s="18">
        <v>119</v>
      </c>
      <c r="L6" s="5">
        <v>243</v>
      </c>
      <c r="M6" s="27" t="s">
        <v>107</v>
      </c>
      <c r="N6" s="30">
        <v>1</v>
      </c>
      <c r="O6" t="s">
        <v>2</v>
      </c>
    </row>
    <row r="7" spans="2:15" x14ac:dyDescent="0.3">
      <c r="B7" s="1" t="s">
        <v>91</v>
      </c>
      <c r="C7" s="1">
        <v>3181</v>
      </c>
      <c r="D7" s="11">
        <v>608.66666666666663</v>
      </c>
      <c r="E7" s="6">
        <v>113</v>
      </c>
      <c r="F7" s="6">
        <v>319</v>
      </c>
      <c r="G7" s="18">
        <v>109</v>
      </c>
      <c r="H7" s="5">
        <v>315</v>
      </c>
      <c r="I7" s="18">
        <v>31</v>
      </c>
      <c r="J7" s="5">
        <v>237</v>
      </c>
      <c r="K7" s="18">
        <v>140</v>
      </c>
      <c r="L7" s="5">
        <v>346</v>
      </c>
      <c r="M7" s="27" t="s">
        <v>107</v>
      </c>
      <c r="N7" s="30">
        <v>1</v>
      </c>
      <c r="O7" t="s">
        <v>1</v>
      </c>
    </row>
    <row r="8" spans="2:15" x14ac:dyDescent="0.3">
      <c r="O8" t="s">
        <v>0</v>
      </c>
    </row>
    <row r="9" spans="2:15" x14ac:dyDescent="0.3">
      <c r="O9" t="s">
        <v>99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74C82-26D9-423B-8589-6BA8915C3289}">
  <dimension ref="B2:O13"/>
  <sheetViews>
    <sheetView showGridLines="0" zoomScaleNormal="100" workbookViewId="0">
      <pane xSplit="2" ySplit="3" topLeftCell="H4" activePane="bottomRight" state="frozen"/>
      <selection pane="topRight" activeCell="B1" sqref="B1"/>
      <selection pane="bottomLeft" activeCell="A4" sqref="A4"/>
      <selection pane="bottomRight" activeCell="I21" sqref="I21"/>
    </sheetView>
  </sheetViews>
  <sheetFormatPr defaultRowHeight="14.4" x14ac:dyDescent="0.3"/>
  <cols>
    <col min="2" max="2" width="20.21875" bestFit="1" customWidth="1"/>
    <col min="3" max="3" width="9.88671875" bestFit="1" customWidth="1"/>
    <col min="4" max="4" width="8.44140625" style="14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12.109375" bestFit="1" customWidth="1"/>
    <col min="14" max="14" width="7.6640625" bestFit="1" customWidth="1"/>
    <col min="15" max="15" width="54.21875" bestFit="1" customWidth="1"/>
  </cols>
  <sheetData>
    <row r="2" spans="2:15" s="3" customFormat="1" ht="43.2" x14ac:dyDescent="0.3"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  <c r="N2" s="4"/>
    </row>
    <row r="3" spans="2:15" s="9" customFormat="1" ht="31.2" x14ac:dyDescent="0.3">
      <c r="B3" s="7" t="s">
        <v>12</v>
      </c>
      <c r="C3" s="7" t="s">
        <v>13</v>
      </c>
      <c r="D3" s="7" t="s">
        <v>14</v>
      </c>
      <c r="E3" s="8" t="s">
        <v>11</v>
      </c>
      <c r="F3" s="10" t="s">
        <v>100</v>
      </c>
      <c r="G3" s="10" t="s">
        <v>8</v>
      </c>
      <c r="H3" s="10" t="s">
        <v>100</v>
      </c>
      <c r="I3" s="10" t="s">
        <v>9</v>
      </c>
      <c r="J3" s="10" t="s">
        <v>100</v>
      </c>
      <c r="K3" s="10" t="s">
        <v>10</v>
      </c>
      <c r="L3" s="10" t="s">
        <v>100</v>
      </c>
      <c r="M3" s="10" t="s">
        <v>106</v>
      </c>
      <c r="N3" s="10" t="s">
        <v>113</v>
      </c>
    </row>
    <row r="4" spans="2:15" x14ac:dyDescent="0.3">
      <c r="B4" s="1" t="s">
        <v>66</v>
      </c>
      <c r="C4" s="1">
        <v>1468</v>
      </c>
      <c r="D4" s="20">
        <v>489.33333333333331</v>
      </c>
      <c r="E4" s="5">
        <v>135</v>
      </c>
      <c r="F4" s="5">
        <v>301</v>
      </c>
      <c r="G4" s="6">
        <v>133</v>
      </c>
      <c r="H4" s="6">
        <v>299</v>
      </c>
      <c r="I4" s="27">
        <v>25</v>
      </c>
      <c r="J4" s="27">
        <v>191</v>
      </c>
      <c r="K4" s="5">
        <v>158</v>
      </c>
      <c r="L4" s="5">
        <v>324</v>
      </c>
      <c r="M4" s="27" t="s">
        <v>117</v>
      </c>
      <c r="N4" s="30">
        <v>1</v>
      </c>
      <c r="O4" s="9" t="s">
        <v>20</v>
      </c>
    </row>
    <row r="5" spans="2:15" x14ac:dyDescent="0.3">
      <c r="B5" s="1" t="s">
        <v>67</v>
      </c>
      <c r="C5" s="1">
        <v>760</v>
      </c>
      <c r="D5" s="20">
        <v>253.33333333333334</v>
      </c>
      <c r="E5" s="5">
        <v>25</v>
      </c>
      <c r="F5" s="5">
        <v>111</v>
      </c>
      <c r="G5" s="6">
        <v>22</v>
      </c>
      <c r="H5" s="6">
        <v>108</v>
      </c>
      <c r="I5" s="27">
        <v>13</v>
      </c>
      <c r="J5" s="27">
        <v>99</v>
      </c>
      <c r="K5" s="5">
        <v>35</v>
      </c>
      <c r="L5" s="5">
        <v>121</v>
      </c>
      <c r="M5" s="27" t="s">
        <v>117</v>
      </c>
      <c r="N5" s="30">
        <v>1</v>
      </c>
      <c r="O5" t="s">
        <v>3</v>
      </c>
    </row>
    <row r="6" spans="2:15" x14ac:dyDescent="0.3">
      <c r="B6" s="1" t="s">
        <v>68</v>
      </c>
      <c r="C6" s="1">
        <v>963</v>
      </c>
      <c r="D6" s="20">
        <v>180</v>
      </c>
      <c r="E6" s="5">
        <v>11</v>
      </c>
      <c r="F6" s="5">
        <v>72</v>
      </c>
      <c r="G6" s="6">
        <v>7</v>
      </c>
      <c r="H6" s="6">
        <v>68</v>
      </c>
      <c r="I6" s="27">
        <v>9</v>
      </c>
      <c r="J6" s="27">
        <v>70</v>
      </c>
      <c r="K6" s="5">
        <v>16</v>
      </c>
      <c r="L6" s="5">
        <v>77</v>
      </c>
      <c r="M6" s="27" t="s">
        <v>117</v>
      </c>
      <c r="N6" s="30">
        <v>1</v>
      </c>
      <c r="O6" t="s">
        <v>2</v>
      </c>
    </row>
    <row r="7" spans="2:15" x14ac:dyDescent="0.3">
      <c r="B7" s="1" t="s">
        <v>69</v>
      </c>
      <c r="C7" s="1">
        <v>50</v>
      </c>
      <c r="D7" s="20">
        <v>16.666666666666668</v>
      </c>
      <c r="E7" s="5">
        <v>12</v>
      </c>
      <c r="F7" s="5">
        <v>18</v>
      </c>
      <c r="G7" s="6">
        <v>12</v>
      </c>
      <c r="H7" s="6">
        <v>18</v>
      </c>
      <c r="I7" s="27">
        <v>1</v>
      </c>
      <c r="J7" s="27">
        <v>7</v>
      </c>
      <c r="K7" s="5">
        <v>13</v>
      </c>
      <c r="L7" s="5">
        <v>19</v>
      </c>
      <c r="M7" s="27" t="s">
        <v>117</v>
      </c>
      <c r="N7" s="30">
        <v>1</v>
      </c>
      <c r="O7" t="s">
        <v>1</v>
      </c>
    </row>
    <row r="8" spans="2:15" x14ac:dyDescent="0.3">
      <c r="B8" s="1" t="s">
        <v>70</v>
      </c>
      <c r="C8" s="1">
        <v>52</v>
      </c>
      <c r="D8" s="20">
        <v>17.333333333333332</v>
      </c>
      <c r="E8" s="5">
        <v>17</v>
      </c>
      <c r="F8" s="5">
        <v>23</v>
      </c>
      <c r="G8" s="6">
        <v>17</v>
      </c>
      <c r="H8" s="6">
        <v>23</v>
      </c>
      <c r="I8" s="27">
        <v>1</v>
      </c>
      <c r="J8" s="27">
        <v>7</v>
      </c>
      <c r="K8" s="5">
        <v>18</v>
      </c>
      <c r="L8" s="5">
        <v>24</v>
      </c>
      <c r="M8" s="27" t="s">
        <v>108</v>
      </c>
      <c r="N8" s="30">
        <v>1</v>
      </c>
      <c r="O8" t="s">
        <v>0</v>
      </c>
    </row>
    <row r="9" spans="2:15" x14ac:dyDescent="0.3">
      <c r="B9" s="1" t="s">
        <v>71</v>
      </c>
      <c r="C9" s="1">
        <v>22</v>
      </c>
      <c r="D9" s="20">
        <v>7.333333333333333</v>
      </c>
      <c r="E9" s="5">
        <v>6</v>
      </c>
      <c r="F9" s="5">
        <v>8</v>
      </c>
      <c r="G9" s="6">
        <v>6</v>
      </c>
      <c r="H9" s="6">
        <v>8</v>
      </c>
      <c r="I9" s="27">
        <v>0</v>
      </c>
      <c r="J9" s="27">
        <v>2</v>
      </c>
      <c r="K9" s="5">
        <v>6</v>
      </c>
      <c r="L9" s="5">
        <v>8</v>
      </c>
      <c r="M9" s="27" t="s">
        <v>108</v>
      </c>
      <c r="N9" s="30">
        <v>1</v>
      </c>
      <c r="O9" t="s">
        <v>99</v>
      </c>
    </row>
    <row r="10" spans="2:15" x14ac:dyDescent="0.3">
      <c r="B10" s="1" t="s">
        <v>72</v>
      </c>
      <c r="C10" s="1">
        <v>963</v>
      </c>
      <c r="D10" s="20">
        <v>189.33333333333334</v>
      </c>
      <c r="E10" s="5">
        <v>27</v>
      </c>
      <c r="F10" s="5">
        <v>91</v>
      </c>
      <c r="G10" s="6">
        <v>25</v>
      </c>
      <c r="H10" s="6">
        <v>89</v>
      </c>
      <c r="I10" s="27">
        <v>10</v>
      </c>
      <c r="J10" s="27">
        <v>74</v>
      </c>
      <c r="K10" s="5">
        <v>35</v>
      </c>
      <c r="L10" s="5">
        <v>99</v>
      </c>
      <c r="M10" s="27" t="s">
        <v>108</v>
      </c>
      <c r="N10" s="30">
        <v>1</v>
      </c>
    </row>
    <row r="11" spans="2:15" x14ac:dyDescent="0.3">
      <c r="B11" s="1" t="s">
        <v>73</v>
      </c>
      <c r="C11" s="1">
        <v>1197</v>
      </c>
      <c r="D11" s="20">
        <v>399</v>
      </c>
      <c r="E11" s="5">
        <v>119</v>
      </c>
      <c r="F11" s="5">
        <v>254</v>
      </c>
      <c r="G11" s="6">
        <v>117</v>
      </c>
      <c r="H11" s="6">
        <v>252</v>
      </c>
      <c r="I11" s="27">
        <v>20</v>
      </c>
      <c r="J11" s="27">
        <v>155</v>
      </c>
      <c r="K11" s="5">
        <v>137</v>
      </c>
      <c r="L11" s="5">
        <v>272</v>
      </c>
      <c r="M11" s="27" t="s">
        <v>108</v>
      </c>
      <c r="N11" s="30">
        <v>1</v>
      </c>
    </row>
    <row r="12" spans="2:15" x14ac:dyDescent="0.3">
      <c r="B12" s="1" t="s">
        <v>74</v>
      </c>
      <c r="C12" s="1">
        <v>1065</v>
      </c>
      <c r="D12" s="20">
        <v>289.66666666666669</v>
      </c>
      <c r="E12" s="5">
        <v>45</v>
      </c>
      <c r="F12" s="5">
        <v>143</v>
      </c>
      <c r="G12" s="6">
        <v>43</v>
      </c>
      <c r="H12" s="6">
        <v>141</v>
      </c>
      <c r="I12" s="27">
        <v>15</v>
      </c>
      <c r="J12" s="27">
        <v>113</v>
      </c>
      <c r="K12" s="5">
        <v>57</v>
      </c>
      <c r="L12" s="5">
        <v>155</v>
      </c>
      <c r="M12" s="27" t="s">
        <v>108</v>
      </c>
      <c r="N12" s="30">
        <v>1</v>
      </c>
    </row>
    <row r="13" spans="2:15" x14ac:dyDescent="0.3">
      <c r="B13" s="1" t="s">
        <v>75</v>
      </c>
      <c r="C13" s="1">
        <v>633</v>
      </c>
      <c r="D13" s="20">
        <v>211</v>
      </c>
      <c r="E13" s="5">
        <v>49</v>
      </c>
      <c r="F13" s="5">
        <v>120</v>
      </c>
      <c r="G13" s="6">
        <v>48</v>
      </c>
      <c r="H13" s="6">
        <v>119</v>
      </c>
      <c r="I13" s="27">
        <v>11</v>
      </c>
      <c r="J13" s="27">
        <v>82</v>
      </c>
      <c r="K13" s="5">
        <v>59</v>
      </c>
      <c r="L13" s="5">
        <v>130</v>
      </c>
      <c r="M13" s="27" t="s">
        <v>108</v>
      </c>
      <c r="N13" s="30">
        <v>1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2281-3BE3-42C4-9E9D-35F75FF829AA}">
  <dimension ref="B2:Q22"/>
  <sheetViews>
    <sheetView showGridLines="0" zoomScaleNormal="100" workbookViewId="0">
      <pane xSplit="2" ySplit="3" topLeftCell="I4" activePane="bottomRight" state="frozen"/>
      <selection pane="topRight" activeCell="B1" sqref="B1"/>
      <selection pane="bottomLeft" activeCell="A4" sqref="A4"/>
      <selection pane="bottomRight" activeCell="P4" sqref="P4"/>
    </sheetView>
  </sheetViews>
  <sheetFormatPr defaultRowHeight="14.4" x14ac:dyDescent="0.3"/>
  <cols>
    <col min="2" max="2" width="23.21875" bestFit="1" customWidth="1"/>
    <col min="3" max="3" width="9.88671875" bestFit="1" customWidth="1"/>
    <col min="4" max="4" width="8.44140625" style="14" bestFit="1" customWidth="1"/>
    <col min="5" max="5" width="25.21875" bestFit="1" customWidth="1"/>
    <col min="6" max="6" width="12.5546875" bestFit="1" customWidth="1"/>
    <col min="7" max="7" width="21.77734375" bestFit="1" customWidth="1"/>
    <col min="8" max="8" width="12.5546875" bestFit="1" customWidth="1"/>
    <col min="9" max="9" width="22.33203125" bestFit="1" customWidth="1"/>
    <col min="10" max="10" width="12.5546875" bestFit="1" customWidth="1"/>
    <col min="11" max="11" width="25.21875" bestFit="1" customWidth="1"/>
    <col min="12" max="12" width="12.5546875" bestFit="1" customWidth="1"/>
    <col min="13" max="13" width="9.6640625" bestFit="1" customWidth="1"/>
    <col min="14" max="14" width="11.21875" bestFit="1" customWidth="1"/>
    <col min="15" max="15" width="10.33203125" bestFit="1" customWidth="1"/>
    <col min="16" max="16" width="13.33203125" bestFit="1" customWidth="1"/>
    <col min="17" max="17" width="54.21875" bestFit="1" customWidth="1"/>
  </cols>
  <sheetData>
    <row r="2" spans="2:17" s="3" customFormat="1" ht="43.2" x14ac:dyDescent="0.3">
      <c r="E2" s="4" t="s">
        <v>4</v>
      </c>
      <c r="F2" s="4"/>
      <c r="G2" s="4" t="s">
        <v>5</v>
      </c>
      <c r="H2" s="4"/>
      <c r="I2" s="4" t="s">
        <v>6</v>
      </c>
      <c r="J2" s="4"/>
      <c r="K2" s="4" t="s">
        <v>7</v>
      </c>
      <c r="L2" s="4"/>
      <c r="M2" s="4"/>
      <c r="N2" s="4"/>
      <c r="O2" s="4"/>
    </row>
    <row r="3" spans="2:17" s="9" customFormat="1" ht="31.2" x14ac:dyDescent="0.3">
      <c r="B3" s="7" t="s">
        <v>12</v>
      </c>
      <c r="C3" s="7" t="s">
        <v>13</v>
      </c>
      <c r="D3" s="7" t="s">
        <v>14</v>
      </c>
      <c r="E3" s="8" t="s">
        <v>11</v>
      </c>
      <c r="F3" s="10" t="s">
        <v>101</v>
      </c>
      <c r="G3" s="10" t="s">
        <v>8</v>
      </c>
      <c r="H3" s="10" t="s">
        <v>100</v>
      </c>
      <c r="I3" s="10" t="s">
        <v>9</v>
      </c>
      <c r="J3" s="10" t="s">
        <v>100</v>
      </c>
      <c r="K3" s="10" t="s">
        <v>10</v>
      </c>
      <c r="L3" s="10" t="s">
        <v>100</v>
      </c>
      <c r="M3" s="10" t="s">
        <v>102</v>
      </c>
      <c r="N3" s="10" t="s">
        <v>103</v>
      </c>
      <c r="O3" s="10" t="s">
        <v>104</v>
      </c>
      <c r="P3" s="10" t="s">
        <v>105</v>
      </c>
    </row>
    <row r="4" spans="2:17" x14ac:dyDescent="0.3">
      <c r="B4" s="1" t="s">
        <v>15</v>
      </c>
      <c r="C4" s="1">
        <v>2201</v>
      </c>
      <c r="D4" s="20">
        <v>324.33333333333331</v>
      </c>
      <c r="E4" s="5">
        <v>24</v>
      </c>
      <c r="F4" s="5">
        <v>134</v>
      </c>
      <c r="G4" s="5">
        <v>17</v>
      </c>
      <c r="H4" s="5">
        <v>127</v>
      </c>
      <c r="I4" s="5">
        <v>17</v>
      </c>
      <c r="J4" s="5">
        <v>127</v>
      </c>
      <c r="K4" s="6">
        <v>34</v>
      </c>
      <c r="L4" s="6">
        <v>144</v>
      </c>
      <c r="M4" s="27">
        <v>50</v>
      </c>
      <c r="N4" s="27">
        <v>125</v>
      </c>
      <c r="O4" s="27">
        <f>SUM(M4:N4)</f>
        <v>175</v>
      </c>
      <c r="P4" s="2" t="str">
        <f>IF(O4&lt;(L4+L4*10%),"Refill",IF(O4&gt;(L4+L4*10%),"Stock"))</f>
        <v>Stock</v>
      </c>
      <c r="Q4" t="s">
        <v>20</v>
      </c>
    </row>
    <row r="5" spans="2:17" x14ac:dyDescent="0.3">
      <c r="B5" s="1" t="s">
        <v>16</v>
      </c>
      <c r="C5" s="1">
        <v>1992</v>
      </c>
      <c r="D5" s="20">
        <v>337.66666666666669</v>
      </c>
      <c r="E5" s="5">
        <v>43</v>
      </c>
      <c r="F5" s="5">
        <v>157</v>
      </c>
      <c r="G5" s="5">
        <v>40</v>
      </c>
      <c r="H5" s="5">
        <v>154</v>
      </c>
      <c r="I5" s="5">
        <v>17</v>
      </c>
      <c r="J5" s="5">
        <v>131</v>
      </c>
      <c r="K5" s="6">
        <v>57</v>
      </c>
      <c r="L5" s="6">
        <v>171</v>
      </c>
      <c r="M5" s="27">
        <v>90</v>
      </c>
      <c r="N5" s="27">
        <v>55</v>
      </c>
      <c r="O5" s="27">
        <f t="shared" ref="O5:O8" si="0">SUM(M5:N5)</f>
        <v>145</v>
      </c>
      <c r="P5" s="2" t="str">
        <f t="shared" ref="P5:P8" si="1">IF(O5&lt;(L5+L5*10%),"Refill",IF(O5&gt;(L5+L5*10%),"Stock"))</f>
        <v>Refill</v>
      </c>
      <c r="Q5" t="s">
        <v>3</v>
      </c>
    </row>
    <row r="6" spans="2:17" x14ac:dyDescent="0.3">
      <c r="B6" s="1" t="s">
        <v>17</v>
      </c>
      <c r="C6" s="1">
        <v>2059</v>
      </c>
      <c r="D6" s="20">
        <v>319.33333333333331</v>
      </c>
      <c r="E6" s="5">
        <v>47</v>
      </c>
      <c r="F6" s="5">
        <v>155</v>
      </c>
      <c r="G6" s="5">
        <v>44</v>
      </c>
      <c r="H6" s="5">
        <v>152</v>
      </c>
      <c r="I6" s="5">
        <v>24</v>
      </c>
      <c r="J6" s="5">
        <v>132</v>
      </c>
      <c r="K6" s="6">
        <v>17</v>
      </c>
      <c r="L6" s="6">
        <v>125</v>
      </c>
      <c r="M6" s="27">
        <v>100</v>
      </c>
      <c r="N6" s="27">
        <v>100</v>
      </c>
      <c r="O6" s="27">
        <f t="shared" si="0"/>
        <v>200</v>
      </c>
      <c r="P6" s="2" t="str">
        <f t="shared" si="1"/>
        <v>Stock</v>
      </c>
      <c r="Q6" t="s">
        <v>2</v>
      </c>
    </row>
    <row r="7" spans="2:17" x14ac:dyDescent="0.3">
      <c r="B7" s="1" t="s">
        <v>18</v>
      </c>
      <c r="C7" s="1">
        <v>5127</v>
      </c>
      <c r="D7" s="20">
        <v>871.33333333333337</v>
      </c>
      <c r="E7" s="5">
        <v>107</v>
      </c>
      <c r="F7" s="5">
        <v>402</v>
      </c>
      <c r="G7" s="5">
        <v>98</v>
      </c>
      <c r="H7" s="5">
        <v>393</v>
      </c>
      <c r="I7" s="5">
        <v>43</v>
      </c>
      <c r="J7" s="5">
        <v>338</v>
      </c>
      <c r="K7" s="6">
        <v>40</v>
      </c>
      <c r="L7" s="6">
        <v>335</v>
      </c>
      <c r="M7" s="27">
        <v>40</v>
      </c>
      <c r="N7" s="27">
        <v>95</v>
      </c>
      <c r="O7" s="27">
        <f t="shared" si="0"/>
        <v>135</v>
      </c>
      <c r="P7" s="2" t="str">
        <f t="shared" si="1"/>
        <v>Refill</v>
      </c>
      <c r="Q7" t="s">
        <v>1</v>
      </c>
    </row>
    <row r="8" spans="2:17" x14ac:dyDescent="0.3">
      <c r="B8" s="1" t="s">
        <v>19</v>
      </c>
      <c r="C8" s="1">
        <v>1345</v>
      </c>
      <c r="D8" s="20">
        <v>200.33333333333334</v>
      </c>
      <c r="E8" s="5">
        <v>53</v>
      </c>
      <c r="F8" s="5">
        <v>121</v>
      </c>
      <c r="G8" s="5">
        <v>52</v>
      </c>
      <c r="H8" s="5">
        <v>120</v>
      </c>
      <c r="I8" s="5">
        <v>47</v>
      </c>
      <c r="J8" s="5">
        <v>115</v>
      </c>
      <c r="K8" s="6">
        <v>44</v>
      </c>
      <c r="L8" s="6">
        <v>112</v>
      </c>
      <c r="M8" s="27">
        <v>140</v>
      </c>
      <c r="N8" s="27">
        <v>150</v>
      </c>
      <c r="O8" s="27">
        <f t="shared" si="0"/>
        <v>290</v>
      </c>
      <c r="P8" s="2" t="str">
        <f t="shared" si="1"/>
        <v>Stock</v>
      </c>
      <c r="Q8" t="s">
        <v>0</v>
      </c>
    </row>
    <row r="9" spans="2:17" x14ac:dyDescent="0.3">
      <c r="Q9" t="s">
        <v>99</v>
      </c>
    </row>
    <row r="10" spans="2:17" x14ac:dyDescent="0.3">
      <c r="E10" s="28"/>
    </row>
    <row r="11" spans="2:17" x14ac:dyDescent="0.3">
      <c r="P11">
        <v>165</v>
      </c>
    </row>
    <row r="12" spans="2:17" x14ac:dyDescent="0.3">
      <c r="P12">
        <v>180</v>
      </c>
    </row>
    <row r="16" spans="2:17" x14ac:dyDescent="0.3">
      <c r="K16" t="s">
        <v>123</v>
      </c>
      <c r="L16">
        <v>150</v>
      </c>
      <c r="N16" t="b">
        <f>IF(L17&gt;(L16+L16*10%),TRUE,FALSE)</f>
        <v>0</v>
      </c>
    </row>
    <row r="17" spans="11:13" x14ac:dyDescent="0.3">
      <c r="K17" t="s">
        <v>124</v>
      </c>
      <c r="L17">
        <v>160</v>
      </c>
      <c r="M17">
        <f>L16+L16*10%</f>
        <v>165</v>
      </c>
    </row>
    <row r="18" spans="11:13" x14ac:dyDescent="0.3">
      <c r="L18" t="s">
        <v>118</v>
      </c>
    </row>
    <row r="19" spans="11:13" x14ac:dyDescent="0.3">
      <c r="L19" t="s">
        <v>119</v>
      </c>
    </row>
    <row r="20" spans="11:13" x14ac:dyDescent="0.3">
      <c r="L20" t="s">
        <v>120</v>
      </c>
    </row>
    <row r="21" spans="11:13" x14ac:dyDescent="0.3">
      <c r="L21" t="s">
        <v>121</v>
      </c>
    </row>
    <row r="22" spans="11:13" x14ac:dyDescent="0.3">
      <c r="L22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Top models</vt:lpstr>
      <vt:lpstr>Competition Similar</vt:lpstr>
      <vt:lpstr>Fast Moving</vt:lpstr>
      <vt:lpstr>Running</vt:lpstr>
      <vt:lpstr>PT Fast Moving</vt:lpstr>
      <vt:lpstr>PT Running</vt:lpstr>
      <vt:lpstr>PT Top Models</vt:lpstr>
      <vt:lpstr>PT New Model</vt:lpstr>
      <vt:lpstr>Competition Similar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afna shamila</dc:creator>
  <cp:lastModifiedBy>afna shamila</cp:lastModifiedBy>
  <dcterms:created xsi:type="dcterms:W3CDTF">2023-06-14T05:27:33Z</dcterms:created>
  <dcterms:modified xsi:type="dcterms:W3CDTF">2026-06-06T06:02:44Z</dcterms:modified>
</cp:coreProperties>
</file>